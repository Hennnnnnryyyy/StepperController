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 Estimation" sheetId="1" r:id="rId4"/>
    <sheet state="visible" name="Cost &amp; PL Estimation" sheetId="2" r:id="rId5"/>
  </sheets>
  <definedNames/>
  <calcPr/>
  <extLst>
    <ext uri="GoogleSheetsCustomDataVersion2">
      <go:sheetsCustomData xmlns:go="http://customooxmlschemas.google.com/" r:id="rId6" roundtripDataChecksum="7pkcoK7URsag/yTElAuW7kEPB40zQWWTX4uVetxisuA="/>
    </ext>
  </extLst>
</workbook>
</file>

<file path=xl/sharedStrings.xml><?xml version="1.0" encoding="utf-8"?>
<sst xmlns="http://schemas.openxmlformats.org/spreadsheetml/2006/main" count="321" uniqueCount="267">
  <si>
    <t>Conservative</t>
  </si>
  <si>
    <t>Base</t>
  </si>
  <si>
    <t>Optimistic</t>
  </si>
  <si>
    <t>KS, 30 days:</t>
  </si>
  <si>
    <t>YT Viewcount</t>
  </si>
  <si>
    <t>Other sources (search etc.)</t>
  </si>
  <si>
    <t>YT -&gt; KS funnel</t>
  </si>
  <si>
    <t>KS conversion</t>
  </si>
  <si>
    <t>Units per customer</t>
  </si>
  <si>
    <t>Units sold</t>
  </si>
  <si>
    <t>Post KS</t>
  </si>
  <si>
    <t>Monthy YT view</t>
  </si>
  <si>
    <t>YT -&gt; Amazon funnel</t>
  </si>
  <si>
    <t>Product page conversion</t>
  </si>
  <si>
    <t>First year</t>
  </si>
  <si>
    <t>Current PCB Design</t>
  </si>
  <si>
    <t>Current Pricing</t>
  </si>
  <si>
    <t>Costdown Pricing</t>
  </si>
  <si>
    <t>Index</t>
  </si>
  <si>
    <t>Role/Category</t>
  </si>
  <si>
    <t>Comment</t>
  </si>
  <si>
    <t>Description</t>
  </si>
  <si>
    <t>Designator</t>
  </si>
  <si>
    <t>Footprint</t>
  </si>
  <si>
    <t>LibRef</t>
  </si>
  <si>
    <t>Quantity</t>
  </si>
  <si>
    <t>Price @1k</t>
  </si>
  <si>
    <t>Total @1k</t>
  </si>
  <si>
    <t>Costdown</t>
  </si>
  <si>
    <t>Cost down@1k</t>
  </si>
  <si>
    <t>Total</t>
  </si>
  <si>
    <t>Notes</t>
  </si>
  <si>
    <t>Resistors</t>
  </si>
  <si>
    <t>10.2k</t>
  </si>
  <si>
    <t>RES 23.2K OHM 0.5% 1/10W 0603</t>
  </si>
  <si>
    <t>R1</t>
  </si>
  <si>
    <t>RES 0603_1608</t>
  </si>
  <si>
    <t>RNCF0603DTE23K2</t>
  </si>
  <si>
    <t>470R</t>
  </si>
  <si>
    <t>R2</t>
  </si>
  <si>
    <t>3.9k</t>
  </si>
  <si>
    <t>R3</t>
  </si>
  <si>
    <t>10.5k</t>
  </si>
  <si>
    <t>R4</t>
  </si>
  <si>
    <t>33k</t>
  </si>
  <si>
    <t>R5</t>
  </si>
  <si>
    <t>3.24k</t>
  </si>
  <si>
    <t>R6</t>
  </si>
  <si>
    <t>10k</t>
  </si>
  <si>
    <t>RES 1% 0603</t>
  </si>
  <si>
    <t>R7, R8, R13, R14, R17, R18, R19</t>
  </si>
  <si>
    <t>47R</t>
  </si>
  <si>
    <t>R9, R10, R11, R22, R24, R26, R28, R30, R32, R33, R34</t>
  </si>
  <si>
    <t>910k</t>
  </si>
  <si>
    <t>R12</t>
  </si>
  <si>
    <t>RNCS0603BKE10K0</t>
  </si>
  <si>
    <t>1k</t>
  </si>
  <si>
    <t>R15, R16, R23, R25, R27, R29, R31, R35, R36, R37</t>
  </si>
  <si>
    <t>100m</t>
  </si>
  <si>
    <t>C25334</t>
  </si>
  <si>
    <t>R20, R21</t>
  </si>
  <si>
    <t>RES 1206_3216</t>
  </si>
  <si>
    <t>KRL1632E-M-R012-F-T5</t>
  </si>
  <si>
    <t>Capacitors</t>
  </si>
  <si>
    <t>100nF</t>
  </si>
  <si>
    <t>C14663, CAP CER 0.022UF 25V X7R 0603</t>
  </si>
  <si>
    <t>C1, C4, C6, C14, C15, C18, C19, C22, C24, C25, C27, C28, C32, C33, C34, C35, C36, C37, C38, C39, C40, C42</t>
  </si>
  <si>
    <t>CAP 0603_1608</t>
  </si>
  <si>
    <t>250X14W223MV4T</t>
  </si>
  <si>
    <t>22uF</t>
  </si>
  <si>
    <t>C12891</t>
  </si>
  <si>
    <t>C2, C3</t>
  </si>
  <si>
    <t>CAP 1206_3216 - 0.8MM</t>
  </si>
  <si>
    <t>MM061A101JCT2A</t>
  </si>
  <si>
    <t>1uF</t>
  </si>
  <si>
    <t>CAP CER 0.022UF 25V X7R 0603, C15849</t>
  </si>
  <si>
    <t>C5, C13, C16, C20</t>
  </si>
  <si>
    <t>10uF</t>
  </si>
  <si>
    <t>C13585, C89632</t>
  </si>
  <si>
    <t>C7, C8, C12, C21, C23</t>
  </si>
  <si>
    <t>8.2nF</t>
  </si>
  <si>
    <t/>
  </si>
  <si>
    <t>C9</t>
  </si>
  <si>
    <t>10pF</t>
  </si>
  <si>
    <t>C10</t>
  </si>
  <si>
    <t>3.3nF</t>
  </si>
  <si>
    <t>C11</t>
  </si>
  <si>
    <t>4.7uF</t>
  </si>
  <si>
    <t>C29823</t>
  </si>
  <si>
    <t>C17</t>
  </si>
  <si>
    <t>100uF</t>
  </si>
  <si>
    <t>C445063</t>
  </si>
  <si>
    <t>C29, C41</t>
  </si>
  <si>
    <t>FP-SGV8X10_5-MFG</t>
  </si>
  <si>
    <t>CMP-35376-000016-1</t>
  </si>
  <si>
    <t>VEJ101M1HTR-0810</t>
  </si>
  <si>
    <t>Cheap caps but not the worst caps</t>
  </si>
  <si>
    <t>22nF</t>
  </si>
  <si>
    <t>C21122</t>
  </si>
  <si>
    <t>C30</t>
  </si>
  <si>
    <t>2.2uF</t>
  </si>
  <si>
    <t>C23630</t>
  </si>
  <si>
    <t>C31</t>
  </si>
  <si>
    <t>Signals Out Terminal</t>
  </si>
  <si>
    <t>Black</t>
  </si>
  <si>
    <t>C430602</t>
  </si>
  <si>
    <t>E2</t>
  </si>
  <si>
    <t>PM_5_08_90_03</t>
  </si>
  <si>
    <t>CMP-1559-01629-1</t>
  </si>
  <si>
    <t>Only one terminal set</t>
  </si>
  <si>
    <t>USB Conn. for Programming</t>
  </si>
  <si>
    <t>670688000</t>
  </si>
  <si>
    <t>Connector</t>
  </si>
  <si>
    <t>J3</t>
  </si>
  <si>
    <t>67068-8000</t>
  </si>
  <si>
    <t>No USB programming</t>
  </si>
  <si>
    <t>USB - UART converter</t>
  </si>
  <si>
    <t>CP2102-GMR</t>
  </si>
  <si>
    <t>Single-Chip USB to URAT Bridge, 3.3 V, -40 to 85 degC, 28-Pin QFN, RoHS, Tape and Reel</t>
  </si>
  <si>
    <t>U3</t>
  </si>
  <si>
    <t>SLAB-QFN-28-3125x3125TP_M</t>
  </si>
  <si>
    <t>CMP-2000-04924-1</t>
  </si>
  <si>
    <t>Indicator</t>
  </si>
  <si>
    <t>RED LED</t>
  </si>
  <si>
    <t>0603 LED</t>
  </si>
  <si>
    <t>DS1</t>
  </si>
  <si>
    <t>VISH-TLMS1000_V</t>
  </si>
  <si>
    <t>CMP-2000-07254-1</t>
  </si>
  <si>
    <t>USB-UART reset transistors</t>
  </si>
  <si>
    <t>MMBT5551LT1G</t>
  </si>
  <si>
    <t>C41095</t>
  </si>
  <si>
    <t>Q1, Q2</t>
  </si>
  <si>
    <t>ONSC-SOT-23-3-318-08_V</t>
  </si>
  <si>
    <t>CMP-1048-00669-1</t>
  </si>
  <si>
    <t>Other Motor Plugs</t>
  </si>
  <si>
    <t>22-27-2041</t>
  </si>
  <si>
    <t>C504991</t>
  </si>
  <si>
    <t>P1, P2</t>
  </si>
  <si>
    <t>MOLX-22-27-2041_V</t>
  </si>
  <si>
    <t>CMP-2000-05243-1</t>
  </si>
  <si>
    <t>C22438287</t>
  </si>
  <si>
    <t>DC Power Jack</t>
  </si>
  <si>
    <t>DC-005-5A-2.0-SMT</t>
  </si>
  <si>
    <t>C319134</t>
  </si>
  <si>
    <t>J1</t>
  </si>
  <si>
    <t>FP-PJ-002BH-SMT-TR-MFG</t>
  </si>
  <si>
    <t>CMP-2000-06897-2</t>
  </si>
  <si>
    <t>USB-C</t>
  </si>
  <si>
    <t>https://www.lcsc.com/product-image/C29780875.html</t>
  </si>
  <si>
    <t>MCU</t>
  </si>
  <si>
    <t>ESP32-S3-WROOM-1</t>
  </si>
  <si>
    <t>Integrated Circuit</t>
  </si>
  <si>
    <t>IC1</t>
  </si>
  <si>
    <t>ESP32S3WROOM1</t>
  </si>
  <si>
    <t>STM32F030C6T6TR</t>
  </si>
  <si>
    <t>Not decided, just placeholder MCU</t>
  </si>
  <si>
    <t>https://www.lcsc.com/product-detail/C106925.html?s_z=n_STM32F030C6T6TR</t>
  </si>
  <si>
    <t>Protection Diode</t>
  </si>
  <si>
    <t>SS54</t>
  </si>
  <si>
    <t>D1</t>
  </si>
  <si>
    <t>DO214AC SMA</t>
  </si>
  <si>
    <t>RS1A</t>
  </si>
  <si>
    <t>Inductor</t>
  </si>
  <si>
    <t>22uH</t>
  </si>
  <si>
    <t>C2651173</t>
  </si>
  <si>
    <t>L1</t>
  </si>
  <si>
    <t>WE-PD_1050P</t>
  </si>
  <si>
    <t>CMP-1396-00034-2</t>
  </si>
  <si>
    <t>OLED Flex Connector</t>
  </si>
  <si>
    <t>AFC07-S24ECA-00</t>
  </si>
  <si>
    <t>C262643</t>
  </si>
  <si>
    <t>J2</t>
  </si>
  <si>
    <t>MOLX-52437-2471</t>
  </si>
  <si>
    <t>CMP-1241-00285-1</t>
  </si>
  <si>
    <t>12V Regulator for OLED</t>
  </si>
  <si>
    <t>LM317AG-TN3-R</t>
  </si>
  <si>
    <t>C75510</t>
  </si>
  <si>
    <t>U2</t>
  </si>
  <si>
    <t>TO-252_L</t>
  </si>
  <si>
    <t>CMP-0244-00074-1</t>
  </si>
  <si>
    <t>3v3 Regulator</t>
  </si>
  <si>
    <t>TPS54231DR</t>
  </si>
  <si>
    <t>Buck Step Down Regulator with 3.5 to 28 V Input and 0.8 to 25 V Output, -40 to 150 degC, 8-Pin SOIC (D), Green (RoHS &amp; no Sb/Br)</t>
  </si>
  <si>
    <t>U1</t>
  </si>
  <si>
    <t>D0008A_L</t>
  </si>
  <si>
    <t>CMP-0323-00207-3</t>
  </si>
  <si>
    <t>TVS Diodes</t>
  </si>
  <si>
    <t>3V</t>
  </si>
  <si>
    <t>C12756</t>
  </si>
  <si>
    <t>D2, D3, D4</t>
  </si>
  <si>
    <t>ONSC-SOD-123-2-425-04_V</t>
  </si>
  <si>
    <t>CMP-1060-00257-1</t>
  </si>
  <si>
    <t>Buttons</t>
  </si>
  <si>
    <t>C255812</t>
  </si>
  <si>
    <t>SWITCH TACTILE SPST-NO 0.05A 24V</t>
  </si>
  <si>
    <t>SW1, SW2, SW3, SW4, SW5, SW6, SW7</t>
  </si>
  <si>
    <t>FP-FSM2JSMAA-MFG</t>
  </si>
  <si>
    <t>CMP-03402-000003-1</t>
  </si>
  <si>
    <t>Power Out Terminals</t>
  </si>
  <si>
    <t>Orange</t>
  </si>
  <si>
    <t>C430604</t>
  </si>
  <si>
    <t>E1</t>
  </si>
  <si>
    <t>Stepper Driver IC</t>
  </si>
  <si>
    <t>TMC2209-LA</t>
  </si>
  <si>
    <t>C465949</t>
  </si>
  <si>
    <t>U4</t>
  </si>
  <si>
    <t>FP-TMC2209-LA-IPC_C</t>
  </si>
  <si>
    <t>CMP-237673-000004-1</t>
  </si>
  <si>
    <t>Custom</t>
  </si>
  <si>
    <t>Cost down stepper driver with external FETs</t>
  </si>
  <si>
    <t>Rotary Encoder</t>
  </si>
  <si>
    <t>PEC11L-4115F-S0020</t>
  </si>
  <si>
    <t>ROTARY ENCODER MECHANICAL 20PPR</t>
  </si>
  <si>
    <t>ENC1</t>
  </si>
  <si>
    <t>FP-PEC11L-4115F-S0020-MFG</t>
  </si>
  <si>
    <t>CMP-07421-000053-1</t>
  </si>
  <si>
    <t>Costdown encoder</t>
  </si>
  <si>
    <t>Motor Spring Connections</t>
  </si>
  <si>
    <t>XY115A-5.0-2P</t>
  </si>
  <si>
    <t>C784935</t>
  </si>
  <si>
    <t>J4, J5</t>
  </si>
  <si>
    <t>2.54-2PLTDK</t>
  </si>
  <si>
    <t>Different connector</t>
  </si>
  <si>
    <t>https://www.lcsc.com/product-image/C5349564.html</t>
  </si>
  <si>
    <t>PCB Substrate 120x70</t>
  </si>
  <si>
    <t>PCB Assembly Cost</t>
  </si>
  <si>
    <t>Guess</t>
  </si>
  <si>
    <t>OLED</t>
  </si>
  <si>
    <t>OLED doesn't seem to be affected by MOQ too much. $2 LCD</t>
  </si>
  <si>
    <t>Shell</t>
  </si>
  <si>
    <t>36 grams ABS</t>
  </si>
  <si>
    <t>Knob</t>
  </si>
  <si>
    <t>3gram ABS</t>
  </si>
  <si>
    <t>BoM total</t>
  </si>
  <si>
    <t>Scrap</t>
  </si>
  <si>
    <t>Direct labor</t>
  </si>
  <si>
    <t>1.5 min assembly, test, box</t>
  </si>
  <si>
    <t>CM profit</t>
  </si>
  <si>
    <t>Packaging</t>
  </si>
  <si>
    <t>Box</t>
  </si>
  <si>
    <t>Ex-Works</t>
  </si>
  <si>
    <t>Ocean frieght + domistic drayage</t>
  </si>
  <si>
    <t>Trump</t>
  </si>
  <si>
    <t>Customs fees, brokerage, ISF</t>
  </si>
  <si>
    <t>Inbound to Amazon</t>
  </si>
  <si>
    <t>Landed cost</t>
  </si>
  <si>
    <t>FBA fulfilment</t>
  </si>
  <si>
    <t>Simlar rates for KS</t>
  </si>
  <si>
    <t>Referral Fee (consumer electronics)</t>
  </si>
  <si>
    <t>8% sell price, absorbs credit card fees here</t>
  </si>
  <si>
    <t>Returns</t>
  </si>
  <si>
    <t>Total Cost after Amazon Fees</t>
  </si>
  <si>
    <t>Retail price (set here)</t>
  </si>
  <si>
    <t>Gross profit per unit</t>
  </si>
  <si>
    <t>CAC/unit</t>
  </si>
  <si>
    <t>Marketing, sample units, heavy social media focus</t>
  </si>
  <si>
    <t>Customer service</t>
  </si>
  <si>
    <t>Discord moderator</t>
  </si>
  <si>
    <t>Inventory</t>
  </si>
  <si>
    <t>Overhead</t>
  </si>
  <si>
    <t>Net profit per unit</t>
  </si>
  <si>
    <t>Fixed costs</t>
  </si>
  <si>
    <t>Product liability insurance</t>
  </si>
  <si>
    <t>Tool cost + setup fees + overhead (conservative)</t>
  </si>
  <si>
    <t>Company overhead</t>
  </si>
  <si>
    <t>Total fixed costs</t>
  </si>
  <si>
    <t>EBITA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</si>
</sst>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00"/>
    <numFmt numFmtId="165" formatCode="&quot;$&quot;#,##0.00"/>
    <numFmt numFmtId="166" formatCode="&quot;$&quot;#,##0.000"/>
  </numFmts>
  <fonts count="31">
    <font>
      <sz val="11.0"/>
      <color theme="1"/>
      <name val="Aptos Narrow"/>
      <scheme val="minor"/>
    </font>
    <font>
      <color theme="1"/>
      <name val="Arial"/>
    </font>
    <font>
      <b/>
      <color theme="1"/>
      <name val="Arial"/>
    </font>
    <font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rial"/>
    </font>
    <font/>
    <font>
      <sz val="11.0"/>
      <color theme="1"/>
      <name val="Aptos Narrow"/>
    </font>
    <font>
      <sz val="11.0"/>
      <color theme="1"/>
      <name val="Arial"/>
    </font>
    <font>
      <sz val="11.0"/>
      <color rgb="FFCCCCCC"/>
      <name val="Arial"/>
    </font>
    <font>
      <sz val="11.0"/>
      <color rgb="FFCCCCCC"/>
      <name val="Aptos Narrow"/>
    </font>
    <font>
      <color rgb="FFCCCCCC"/>
      <name val="Arial"/>
    </font>
    <font>
      <color rgb="FFCCCCCC"/>
      <name val="Aptos Narrow"/>
      <scheme val="minor"/>
    </font>
    <font>
      <sz val="11.0"/>
      <color rgb="FFD3D3D3"/>
      <name val="Arial"/>
    </font>
    <font>
      <sz val="11.0"/>
      <color rgb="FFD3D3D3"/>
      <name val="Aptos Narrow"/>
    </font>
    <font>
      <color rgb="FFD3D3D3"/>
      <name val="Arial"/>
    </font>
    <font>
      <color rgb="FFD3D3D3"/>
      <name val="Aptos Narrow"/>
      <scheme val="minor"/>
    </font>
    <font>
      <sz val="11.0"/>
      <color rgb="FF222222"/>
      <name val="ArialMT"/>
    </font>
    <font>
      <u/>
      <color rgb="FF0000FF"/>
    </font>
    <font>
      <u/>
      <color rgb="FF0000FF"/>
      <name val="Arial"/>
    </font>
    <font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ptos Narrow"/>
      <scheme val="minor"/>
    </font>
    <font>
      <b/>
      <u/>
      <color theme="1"/>
      <name val="Aptos Narrow"/>
      <scheme val="minor"/>
    </font>
    <font>
      <b/>
      <u/>
      <color theme="1"/>
      <name val="Arial"/>
    </font>
    <font>
      <b/>
      <u/>
      <color theme="1"/>
      <name val="Aptos Narrow"/>
      <scheme val="minor"/>
    </font>
    <font>
      <b/>
      <u/>
      <color theme="1"/>
      <name val="Aptos Narrow"/>
      <scheme val="minor"/>
    </font>
    <font>
      <b/>
      <u/>
      <color theme="1"/>
      <name val="Aptos Narrow"/>
      <scheme val="minor"/>
    </font>
    <font>
      <b/>
      <u/>
      <color theme="1"/>
      <name val="Aptos Narrow"/>
      <scheme val="minor"/>
    </font>
    <font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3" numFmtId="1" xfId="0" applyFont="1" applyNumberFormat="1"/>
    <xf borderId="0" fillId="0" fontId="4" numFmtId="1" xfId="0" applyFont="1" applyNumberFormat="1"/>
    <xf borderId="1" fillId="2" fontId="5" numFmtId="0" xfId="0" applyAlignment="1" applyBorder="1" applyFill="1" applyFont="1">
      <alignment horizontal="center" readingOrder="0" shrinkToFit="0" vertical="center" wrapText="1"/>
    </xf>
    <xf borderId="2" fillId="0" fontId="6" numFmtId="0" xfId="0" applyBorder="1" applyFont="1"/>
    <xf borderId="3" fillId="0" fontId="6" numFmtId="0" xfId="0" applyBorder="1" applyFont="1"/>
    <xf borderId="2" fillId="2" fontId="5" numFmtId="164" xfId="0" applyAlignment="1" applyBorder="1" applyFont="1" applyNumberFormat="1">
      <alignment readingOrder="0"/>
    </xf>
    <xf borderId="1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7" numFmtId="0" xfId="0" applyFont="1"/>
    <xf borderId="4" fillId="2" fontId="8" numFmtId="0" xfId="0" applyAlignment="1" applyBorder="1" applyFont="1">
      <alignment readingOrder="0" shrinkToFit="0" vertical="center" wrapText="1"/>
    </xf>
    <xf borderId="5" fillId="2" fontId="8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5" fillId="2" fontId="8" numFmtId="164" xfId="0" applyAlignment="1" applyBorder="1" applyFont="1" applyNumberFormat="1">
      <alignment readingOrder="0"/>
    </xf>
    <xf borderId="6" fillId="2" fontId="8" numFmtId="165" xfId="0" applyAlignment="1" applyBorder="1" applyFont="1" applyNumberFormat="1">
      <alignment readingOrder="0"/>
    </xf>
    <xf borderId="4" fillId="2" fontId="8" numFmtId="0" xfId="0" applyAlignment="1" applyBorder="1" applyFont="1">
      <alignment readingOrder="0"/>
    </xf>
    <xf borderId="5" fillId="2" fontId="8" numFmtId="165" xfId="0" applyAlignment="1" applyBorder="1" applyFont="1" applyNumberFormat="1">
      <alignment readingOrder="0"/>
    </xf>
    <xf borderId="6" fillId="2" fontId="8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7" fillId="0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quotePrefix="1" borderId="0" fillId="0" fontId="7" numFmtId="0" xfId="0" applyAlignment="1" applyFont="1">
      <alignment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8" fillId="0" fontId="3" numFmtId="166" xfId="0" applyBorder="1" applyFont="1" applyNumberFormat="1"/>
    <xf borderId="7" fillId="0" fontId="3" numFmtId="0" xfId="0" applyBorder="1" applyFont="1"/>
    <xf borderId="0" fillId="0" fontId="3" numFmtId="164" xfId="0" applyFont="1" applyNumberFormat="1"/>
    <xf borderId="0" fillId="0" fontId="3" numFmtId="166" xfId="0" applyFont="1" applyNumberFormat="1"/>
    <xf borderId="8" fillId="0" fontId="3" numFmtId="0" xfId="0" applyBorder="1" applyFont="1"/>
    <xf quotePrefix="1" borderId="0" fillId="0" fontId="8" numFmtId="0" xfId="0" applyAlignment="1" applyFont="1">
      <alignment readingOrder="0" shrinkToFit="0" vertical="center" wrapText="1"/>
    </xf>
    <xf borderId="8" fillId="0" fontId="3" numFmtId="165" xfId="0" applyBorder="1" applyFont="1" applyNumberFormat="1"/>
    <xf borderId="0" fillId="0" fontId="3" numFmtId="165" xfId="0" applyFont="1" applyNumberForma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quotePrefix="1" borderId="0" fillId="0" fontId="10" numFmtId="0" xfId="0" applyAlignment="1" applyFont="1">
      <alignment shrinkToFit="0" vertical="center" wrapText="1"/>
    </xf>
    <xf quotePrefix="1" borderId="0" fillId="0" fontId="9" numFmtId="0" xfId="0" applyAlignment="1" applyFont="1">
      <alignment readingOrder="0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0" fillId="0" fontId="11" numFmtId="164" xfId="0" applyAlignment="1" applyFont="1" applyNumberFormat="1">
      <alignment readingOrder="0"/>
    </xf>
    <xf borderId="8" fillId="0" fontId="12" numFmtId="165" xfId="0" applyBorder="1" applyFont="1" applyNumberFormat="1"/>
    <xf borderId="7" fillId="0" fontId="12" numFmtId="0" xfId="0" applyBorder="1" applyFont="1"/>
    <xf borderId="0" fillId="0" fontId="12" numFmtId="165" xfId="0" applyFont="1" applyNumberFormat="1"/>
    <xf borderId="8" fillId="0" fontId="11" numFmtId="0" xfId="0" applyAlignment="1" applyBorder="1" applyFont="1">
      <alignment readingOrder="0"/>
    </xf>
    <xf borderId="0" fillId="0" fontId="13" numFmtId="0" xfId="0" applyAlignment="1" applyFont="1">
      <alignment readingOrder="0" shrinkToFit="0" vertical="center" wrapText="1"/>
    </xf>
    <xf quotePrefix="1" borderId="0" fillId="0" fontId="13" numFmtId="0" xfId="0" applyAlignment="1" applyFont="1">
      <alignment readingOrder="0" shrinkToFit="0" vertical="center" wrapText="1"/>
    </xf>
    <xf quotePrefix="1" borderId="0" fillId="0" fontId="14" numFmtId="0" xfId="0" applyAlignment="1" applyFont="1">
      <alignment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0" fillId="0" fontId="15" numFmtId="164" xfId="0" applyAlignment="1" applyFont="1" applyNumberFormat="1">
      <alignment readingOrder="0"/>
    </xf>
    <xf borderId="8" fillId="0" fontId="16" numFmtId="165" xfId="0" applyBorder="1" applyFont="1" applyNumberFormat="1"/>
    <xf borderId="7" fillId="0" fontId="16" numFmtId="0" xfId="0" applyBorder="1" applyFont="1"/>
    <xf borderId="0" fillId="0" fontId="16" numFmtId="165" xfId="0" applyFont="1" applyNumberFormat="1"/>
    <xf borderId="8" fillId="0" fontId="15" numFmtId="0" xfId="0" applyAlignment="1" applyBorder="1" applyFont="1">
      <alignment readingOrder="0"/>
    </xf>
    <xf borderId="7" fillId="0" fontId="13" numFmtId="0" xfId="0" applyAlignment="1" applyBorder="1" applyFont="1">
      <alignment readingOrder="0" shrinkToFit="0" vertical="center" wrapText="1"/>
    </xf>
    <xf borderId="8" fillId="0" fontId="16" numFmtId="0" xfId="0" applyBorder="1" applyFont="1"/>
    <xf borderId="7" fillId="3" fontId="17" numFmtId="0" xfId="0" applyAlignment="1" applyBorder="1" applyFill="1" applyFont="1">
      <alignment horizontal="left" readingOrder="0"/>
    </xf>
    <xf borderId="0" fillId="0" fontId="18" numFmtId="0" xfId="0" applyAlignment="1" applyFont="1">
      <alignment readingOrder="0"/>
    </xf>
    <xf borderId="7" fillId="3" fontId="17" numFmtId="0" xfId="0" applyAlignment="1" applyBorder="1" applyFill="1" applyFont="1">
      <alignment horizontal="left" readingOrder="0"/>
    </xf>
    <xf borderId="0" fillId="0" fontId="19" numFmtId="0" xfId="0" applyAlignment="1" applyFont="1">
      <alignment readingOrder="0"/>
    </xf>
    <xf borderId="0" fillId="0" fontId="20" numFmtId="164" xfId="0" applyAlignment="1" applyFont="1" applyNumberFormat="1">
      <alignment readingOrder="0"/>
    </xf>
    <xf borderId="8" fillId="0" fontId="3" numFmtId="165" xfId="0" applyBorder="1" applyFont="1" applyNumberFormat="1"/>
    <xf borderId="8" fillId="0" fontId="1" numFmtId="165" xfId="0" applyAlignment="1" applyBorder="1" applyFont="1" applyNumberFormat="1">
      <alignment readingOrder="0"/>
    </xf>
    <xf borderId="8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4" fillId="0" fontId="3" numFmtId="0" xfId="0" applyBorder="1" applyFont="1"/>
    <xf borderId="5" fillId="0" fontId="2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5" fillId="4" fontId="3" numFmtId="0" xfId="0" applyBorder="1" applyFont="1"/>
    <xf borderId="6" fillId="4" fontId="3" numFmtId="0" xfId="0" applyAlignment="1" applyBorder="1" applyFont="1">
      <alignment horizontal="center"/>
    </xf>
    <xf borderId="5" fillId="4" fontId="3" numFmtId="164" xfId="0" applyBorder="1" applyFont="1" applyNumberFormat="1"/>
    <xf borderId="6" fillId="4" fontId="4" numFmtId="165" xfId="0" applyBorder="1" applyFont="1" applyNumberFormat="1"/>
    <xf borderId="4" fillId="4" fontId="3" numFmtId="0" xfId="0" applyBorder="1" applyFont="1"/>
    <xf borderId="5" fillId="4" fontId="4" numFmtId="165" xfId="0" applyBorder="1" applyFont="1" applyNumberFormat="1"/>
    <xf borderId="6" fillId="0" fontId="3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3" numFmtId="0" xfId="0" applyFont="1"/>
    <xf borderId="0" fillId="4" fontId="3" numFmtId="0" xfId="0" applyAlignment="1" applyFont="1">
      <alignment horizontal="center"/>
    </xf>
    <xf borderId="0" fillId="4" fontId="3" numFmtId="164" xfId="0" applyFont="1" applyNumberFormat="1"/>
    <xf borderId="0" fillId="4" fontId="3" numFmtId="165" xfId="0" applyFont="1" applyNumberFormat="1"/>
    <xf borderId="0" fillId="4" fontId="2" numFmtId="165" xfId="0" applyAlignment="1" applyFont="1" applyNumberFormat="1">
      <alignment readingOrder="0"/>
    </xf>
    <xf borderId="0" fillId="5" fontId="1" numFmtId="9" xfId="0" applyAlignment="1" applyFill="1" applyFont="1" applyNumberFormat="1">
      <alignment readingOrder="0"/>
    </xf>
    <xf borderId="0" fillId="4" fontId="4" numFmtId="0" xfId="0" applyFont="1"/>
    <xf borderId="0" fillId="4" fontId="4" numFmtId="0" xfId="0" applyAlignment="1" applyFont="1">
      <alignment horizontal="center"/>
    </xf>
    <xf borderId="0" fillId="4" fontId="4" numFmtId="164" xfId="0" applyFont="1" applyNumberFormat="1"/>
    <xf borderId="0" fillId="4" fontId="4" numFmtId="165" xfId="0" applyFont="1" applyNumberFormat="1"/>
    <xf borderId="0" fillId="0" fontId="1" numFmtId="0" xfId="0" applyAlignment="1" applyFont="1">
      <alignment readingOrder="0" vertical="center"/>
    </xf>
    <xf borderId="0" fillId="5" fontId="2" numFmtId="0" xfId="0" applyAlignment="1" applyFont="1">
      <alignment readingOrder="0"/>
    </xf>
    <xf borderId="0" fillId="5" fontId="4" numFmtId="0" xfId="0" applyFont="1"/>
    <xf borderId="0" fillId="5" fontId="4" numFmtId="0" xfId="0" applyAlignment="1" applyFont="1">
      <alignment horizontal="center"/>
    </xf>
    <xf borderId="0" fillId="5" fontId="4" numFmtId="164" xfId="0" applyFont="1" applyNumberFormat="1"/>
    <xf borderId="0" fillId="5" fontId="4" numFmtId="165" xfId="0" applyFont="1" applyNumberFormat="1"/>
    <xf borderId="0" fillId="5" fontId="2" numFmtId="165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4" fontId="22" numFmtId="0" xfId="0" applyAlignment="1" applyFont="1">
      <alignment readingOrder="0"/>
    </xf>
    <xf borderId="0" fillId="4" fontId="23" numFmtId="164" xfId="0" applyFont="1" applyNumberFormat="1"/>
    <xf borderId="0" fillId="4" fontId="24" numFmtId="165" xfId="0" applyFont="1" applyNumberFormat="1"/>
    <xf borderId="0" fillId="6" fontId="25" numFmtId="0" xfId="0" applyAlignment="1" applyFill="1" applyFont="1">
      <alignment readingOrder="0"/>
    </xf>
    <xf borderId="0" fillId="6" fontId="26" numFmtId="0" xfId="0" applyFont="1"/>
    <xf borderId="0" fillId="6" fontId="27" numFmtId="0" xfId="0" applyAlignment="1" applyFont="1">
      <alignment horizontal="center"/>
    </xf>
    <xf borderId="0" fillId="6" fontId="28" numFmtId="164" xfId="0" applyFont="1" applyNumberFormat="1"/>
    <xf borderId="0" fillId="6" fontId="29" numFmtId="165" xfId="0" applyFont="1" applyNumberFormat="1"/>
    <xf borderId="0" fillId="0" fontId="30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1" fillId="0" fontId="1" numFmtId="164" xfId="0" applyAlignment="1" applyBorder="1" applyFont="1" applyNumberFormat="1">
      <alignment readingOrder="0"/>
    </xf>
    <xf borderId="3" fillId="0" fontId="2" numFmtId="165" xfId="0" applyAlignment="1" applyBorder="1" applyFont="1" applyNumberFormat="1">
      <alignment horizontal="left" readingOrder="0" shrinkToFit="0" wrapText="0"/>
    </xf>
    <xf borderId="7" fillId="0" fontId="1" numFmtId="3" xfId="0" applyAlignment="1" applyBorder="1" applyFont="1" applyNumberFormat="1">
      <alignment readingOrder="0"/>
    </xf>
    <xf borderId="8" fillId="0" fontId="4" numFmtId="165" xfId="0" applyAlignment="1" applyBorder="1" applyFont="1" applyNumberFormat="1">
      <alignment horizontal="left" shrinkToFit="0" wrapText="0"/>
    </xf>
    <xf borderId="4" fillId="0" fontId="1" numFmtId="3" xfId="0" applyAlignment="1" applyBorder="1" applyFont="1" applyNumberFormat="1">
      <alignment readingOrder="0"/>
    </xf>
    <xf borderId="6" fillId="0" fontId="4" numFmtId="165" xfId="0" applyAlignment="1" applyBorder="1" applyFont="1" applyNumberForma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image/C29780875.html" TargetMode="External"/><Relationship Id="rId2" Type="http://schemas.openxmlformats.org/officeDocument/2006/relationships/hyperlink" Target="https://www.lcsc.com/product-detail/C106925.html?s_z=n_STM32F030C6T6TR" TargetMode="External"/><Relationship Id="rId3" Type="http://schemas.openxmlformats.org/officeDocument/2006/relationships/hyperlink" Target="https://www.lcsc.com/product-image/C5349564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 t="s">
        <v>3</v>
      </c>
    </row>
    <row r="3">
      <c r="A3" s="1" t="s">
        <v>4</v>
      </c>
      <c r="B3" s="1">
        <v>50000.0</v>
      </c>
      <c r="C3" s="1">
        <v>300000.0</v>
      </c>
      <c r="D3" s="1">
        <v>1000000.0</v>
      </c>
    </row>
    <row r="4">
      <c r="A4" s="1" t="s">
        <v>5</v>
      </c>
      <c r="B4" s="1">
        <v>5000.0</v>
      </c>
      <c r="C4" s="1">
        <v>30000.0</v>
      </c>
      <c r="D4" s="1">
        <v>100000.0</v>
      </c>
    </row>
    <row r="5">
      <c r="A5" s="1" t="s">
        <v>6</v>
      </c>
      <c r="B5" s="3">
        <v>0.005</v>
      </c>
      <c r="C5" s="3">
        <v>0.015</v>
      </c>
      <c r="D5" s="3">
        <v>0.03</v>
      </c>
    </row>
    <row r="6">
      <c r="A6" s="1" t="s">
        <v>7</v>
      </c>
      <c r="B6" s="4">
        <v>0.03</v>
      </c>
      <c r="C6" s="4">
        <v>0.05</v>
      </c>
      <c r="D6" s="4">
        <v>0.07</v>
      </c>
    </row>
    <row r="7">
      <c r="A7" s="1" t="s">
        <v>8</v>
      </c>
      <c r="B7" s="1">
        <v>1.15</v>
      </c>
      <c r="C7" s="1">
        <v>1.2</v>
      </c>
      <c r="D7" s="1">
        <v>1.3</v>
      </c>
    </row>
    <row r="8">
      <c r="A8" s="1" t="s">
        <v>9</v>
      </c>
      <c r="B8" s="5">
        <f t="shared" ref="B8:D8" si="1">(B3+B4)*B5*B6*B7</f>
        <v>9.4875</v>
      </c>
      <c r="C8" s="5">
        <f t="shared" si="1"/>
        <v>297</v>
      </c>
      <c r="D8" s="5">
        <f t="shared" si="1"/>
        <v>3003</v>
      </c>
    </row>
    <row r="9">
      <c r="A9" s="1"/>
      <c r="B9" s="5"/>
      <c r="C9" s="5"/>
      <c r="D9" s="5"/>
    </row>
    <row r="10">
      <c r="A10" s="2" t="s">
        <v>10</v>
      </c>
    </row>
    <row r="11">
      <c r="A11" s="1" t="s">
        <v>11</v>
      </c>
      <c r="B11" s="1">
        <v>15000.0</v>
      </c>
      <c r="C11" s="1">
        <v>50000.0</v>
      </c>
      <c r="D11" s="1">
        <v>100000.0</v>
      </c>
    </row>
    <row r="12">
      <c r="A12" s="1" t="s">
        <v>5</v>
      </c>
      <c r="B12" s="1">
        <v>1500.0</v>
      </c>
      <c r="C12" s="1">
        <v>5000.0</v>
      </c>
      <c r="D12" s="1">
        <v>100000.0</v>
      </c>
    </row>
    <row r="13">
      <c r="A13" s="1" t="s">
        <v>12</v>
      </c>
      <c r="B13" s="3">
        <v>0.003</v>
      </c>
      <c r="C13" s="4">
        <v>0.01</v>
      </c>
      <c r="D13" s="4">
        <v>0.02</v>
      </c>
    </row>
    <row r="14">
      <c r="A14" s="1" t="s">
        <v>13</v>
      </c>
      <c r="B14" s="4">
        <v>0.02</v>
      </c>
      <c r="C14" s="4">
        <v>0.05</v>
      </c>
      <c r="D14" s="4">
        <v>0.08</v>
      </c>
    </row>
    <row r="15">
      <c r="A15" s="1" t="s">
        <v>8</v>
      </c>
      <c r="B15" s="1">
        <v>1.15</v>
      </c>
      <c r="C15" s="1">
        <v>1.2</v>
      </c>
      <c r="D15" s="1">
        <v>1.3</v>
      </c>
    </row>
    <row r="16">
      <c r="A16" s="1"/>
      <c r="B16" s="5">
        <f t="shared" ref="B16:D16" si="2">(B11+B12)*B13*B14*B15</f>
        <v>1.1385</v>
      </c>
      <c r="C16" s="5">
        <f t="shared" si="2"/>
        <v>33</v>
      </c>
      <c r="D16" s="5">
        <f t="shared" si="2"/>
        <v>416</v>
      </c>
    </row>
    <row r="18">
      <c r="A18" s="2" t="s">
        <v>14</v>
      </c>
      <c r="B18" s="6">
        <f t="shared" ref="B18:D18" si="3">B8+B16*11</f>
        <v>22.011</v>
      </c>
      <c r="C18" s="6">
        <f t="shared" si="3"/>
        <v>660</v>
      </c>
      <c r="D18" s="6">
        <f t="shared" si="3"/>
        <v>7579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4.75"/>
    <col customWidth="1" min="3" max="3" width="23.13"/>
    <col customWidth="1" min="4" max="5" width="18.88"/>
    <col customWidth="1" hidden="1" min="6" max="7" width="18.88"/>
    <col customWidth="1" min="8" max="8" width="7.88"/>
    <col customWidth="1" min="9" max="9" width="11.38"/>
    <col customWidth="1" min="10" max="10" width="10.25"/>
    <col customWidth="1" min="11" max="11" width="19.63"/>
    <col customWidth="1" min="12" max="12" width="14.75"/>
    <col customWidth="1" min="13" max="13" width="14.13"/>
    <col customWidth="1" min="14" max="15" width="65.38"/>
    <col customWidth="1" min="16" max="28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9"/>
      <c r="I1" s="10" t="s">
        <v>16</v>
      </c>
      <c r="J1" s="9"/>
      <c r="K1" s="11" t="s">
        <v>17</v>
      </c>
      <c r="L1" s="8"/>
      <c r="M1" s="8"/>
      <c r="N1" s="9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4.25" customHeight="1">
      <c r="A2" s="14" t="s">
        <v>18</v>
      </c>
      <c r="B2" s="15" t="s">
        <v>19</v>
      </c>
      <c r="C2" s="16" t="s">
        <v>20</v>
      </c>
      <c r="D2" s="16" t="s">
        <v>21</v>
      </c>
      <c r="E2" s="16" t="s">
        <v>22</v>
      </c>
      <c r="F2" s="16" t="s">
        <v>23</v>
      </c>
      <c r="G2" s="16" t="s">
        <v>24</v>
      </c>
      <c r="H2" s="17" t="s">
        <v>25</v>
      </c>
      <c r="I2" s="18" t="s">
        <v>26</v>
      </c>
      <c r="J2" s="19" t="s">
        <v>27</v>
      </c>
      <c r="K2" s="20" t="s">
        <v>28</v>
      </c>
      <c r="L2" s="18" t="s">
        <v>29</v>
      </c>
      <c r="M2" s="21" t="s">
        <v>30</v>
      </c>
      <c r="N2" s="22" t="s">
        <v>31</v>
      </c>
      <c r="O2" s="2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4.25" customHeight="1">
      <c r="A3" s="24">
        <v>25.0</v>
      </c>
      <c r="B3" s="25" t="s">
        <v>32</v>
      </c>
      <c r="C3" s="26" t="s">
        <v>33</v>
      </c>
      <c r="D3" s="26" t="s">
        <v>34</v>
      </c>
      <c r="E3" s="26" t="s">
        <v>35</v>
      </c>
      <c r="F3" s="26" t="s">
        <v>36</v>
      </c>
      <c r="G3" s="26" t="s">
        <v>37</v>
      </c>
      <c r="H3" s="27">
        <v>1.0</v>
      </c>
      <c r="I3" s="28">
        <v>5.0E-4</v>
      </c>
      <c r="J3" s="29">
        <f t="shared" ref="J3:J41" si="1">I3*H3</f>
        <v>0.0005</v>
      </c>
      <c r="K3" s="30"/>
      <c r="L3" s="31"/>
      <c r="M3" s="32">
        <f t="shared" ref="M3:M44" si="2">IF(ISNUMBER(L3), L3, I3) * H3</f>
        <v>0.0005</v>
      </c>
      <c r="N3" s="33"/>
    </row>
    <row r="4" ht="14.25" customHeight="1">
      <c r="A4" s="24">
        <v>26.0</v>
      </c>
      <c r="C4" s="26" t="s">
        <v>38</v>
      </c>
      <c r="D4" s="26" t="s">
        <v>34</v>
      </c>
      <c r="E4" s="26" t="s">
        <v>39</v>
      </c>
      <c r="F4" s="26" t="s">
        <v>36</v>
      </c>
      <c r="G4" s="26" t="s">
        <v>37</v>
      </c>
      <c r="H4" s="27">
        <v>1.0</v>
      </c>
      <c r="I4" s="28">
        <v>5.0E-4</v>
      </c>
      <c r="J4" s="29">
        <f t="shared" si="1"/>
        <v>0.0005</v>
      </c>
      <c r="K4" s="30"/>
      <c r="L4" s="31"/>
      <c r="M4" s="32">
        <f t="shared" si="2"/>
        <v>0.0005</v>
      </c>
      <c r="N4" s="33"/>
    </row>
    <row r="5" ht="14.25" customHeight="1">
      <c r="A5" s="24">
        <v>27.0</v>
      </c>
      <c r="C5" s="26" t="s">
        <v>40</v>
      </c>
      <c r="D5" s="26" t="s">
        <v>34</v>
      </c>
      <c r="E5" s="26" t="s">
        <v>41</v>
      </c>
      <c r="F5" s="26" t="s">
        <v>36</v>
      </c>
      <c r="G5" s="26" t="s">
        <v>37</v>
      </c>
      <c r="H5" s="27">
        <v>1.0</v>
      </c>
      <c r="I5" s="28">
        <v>5.0E-4</v>
      </c>
      <c r="J5" s="29">
        <f t="shared" si="1"/>
        <v>0.0005</v>
      </c>
      <c r="K5" s="30"/>
      <c r="L5" s="31"/>
      <c r="M5" s="32">
        <f t="shared" si="2"/>
        <v>0.0005</v>
      </c>
      <c r="N5" s="33"/>
    </row>
    <row r="6" ht="14.25" customHeight="1">
      <c r="A6" s="24">
        <v>28.0</v>
      </c>
      <c r="C6" s="26" t="s">
        <v>42</v>
      </c>
      <c r="D6" s="26" t="s">
        <v>34</v>
      </c>
      <c r="E6" s="26" t="s">
        <v>43</v>
      </c>
      <c r="F6" s="26" t="s">
        <v>36</v>
      </c>
      <c r="G6" s="26" t="s">
        <v>37</v>
      </c>
      <c r="H6" s="27">
        <v>1.0</v>
      </c>
      <c r="I6" s="28">
        <v>5.0E-4</v>
      </c>
      <c r="J6" s="29">
        <f t="shared" si="1"/>
        <v>0.0005</v>
      </c>
      <c r="K6" s="30"/>
      <c r="L6" s="31"/>
      <c r="M6" s="32">
        <f t="shared" si="2"/>
        <v>0.0005</v>
      </c>
      <c r="N6" s="33"/>
    </row>
    <row r="7" ht="14.25" customHeight="1">
      <c r="A7" s="24">
        <v>29.0</v>
      </c>
      <c r="C7" s="26" t="s">
        <v>44</v>
      </c>
      <c r="D7" s="26" t="s">
        <v>34</v>
      </c>
      <c r="E7" s="26" t="s">
        <v>45</v>
      </c>
      <c r="F7" s="26" t="s">
        <v>36</v>
      </c>
      <c r="G7" s="26" t="s">
        <v>37</v>
      </c>
      <c r="H7" s="27">
        <v>1.0</v>
      </c>
      <c r="I7" s="28">
        <v>5.0E-4</v>
      </c>
      <c r="J7" s="29">
        <f t="shared" si="1"/>
        <v>0.0005</v>
      </c>
      <c r="K7" s="30"/>
      <c r="L7" s="31"/>
      <c r="M7" s="32">
        <f t="shared" si="2"/>
        <v>0.0005</v>
      </c>
      <c r="N7" s="33"/>
    </row>
    <row r="8" ht="14.25" customHeight="1">
      <c r="A8" s="24">
        <v>30.0</v>
      </c>
      <c r="C8" s="26" t="s">
        <v>46</v>
      </c>
      <c r="D8" s="26" t="s">
        <v>34</v>
      </c>
      <c r="E8" s="26" t="s">
        <v>47</v>
      </c>
      <c r="F8" s="26" t="s">
        <v>36</v>
      </c>
      <c r="G8" s="26" t="s">
        <v>37</v>
      </c>
      <c r="H8" s="27">
        <v>1.0</v>
      </c>
      <c r="I8" s="28">
        <v>5.0E-4</v>
      </c>
      <c r="J8" s="29">
        <f t="shared" si="1"/>
        <v>0.0005</v>
      </c>
      <c r="K8" s="30"/>
      <c r="L8" s="31"/>
      <c r="M8" s="32">
        <f t="shared" si="2"/>
        <v>0.0005</v>
      </c>
      <c r="N8" s="33"/>
    </row>
    <row r="9" ht="14.25" customHeight="1">
      <c r="A9" s="24">
        <v>31.0</v>
      </c>
      <c r="C9" s="26" t="s">
        <v>48</v>
      </c>
      <c r="D9" s="26" t="s">
        <v>49</v>
      </c>
      <c r="E9" s="26" t="s">
        <v>50</v>
      </c>
      <c r="F9" s="26" t="s">
        <v>36</v>
      </c>
      <c r="G9" s="26" t="s">
        <v>37</v>
      </c>
      <c r="H9" s="27">
        <v>7.0</v>
      </c>
      <c r="I9" s="28">
        <v>5.0E-4</v>
      </c>
      <c r="J9" s="29">
        <f t="shared" si="1"/>
        <v>0.0035</v>
      </c>
      <c r="K9" s="30"/>
      <c r="L9" s="31"/>
      <c r="M9" s="32">
        <f t="shared" si="2"/>
        <v>0.0035</v>
      </c>
      <c r="N9" s="33"/>
    </row>
    <row r="10" ht="14.25" customHeight="1">
      <c r="A10" s="24">
        <v>32.0</v>
      </c>
      <c r="C10" s="26" t="s">
        <v>51</v>
      </c>
      <c r="D10" s="26" t="s">
        <v>49</v>
      </c>
      <c r="E10" s="26" t="s">
        <v>52</v>
      </c>
      <c r="F10" s="26" t="s">
        <v>36</v>
      </c>
      <c r="G10" s="26" t="s">
        <v>37</v>
      </c>
      <c r="H10" s="27">
        <v>11.0</v>
      </c>
      <c r="I10" s="28">
        <v>5.0E-4</v>
      </c>
      <c r="J10" s="29">
        <f t="shared" si="1"/>
        <v>0.0055</v>
      </c>
      <c r="K10" s="30"/>
      <c r="L10" s="31"/>
      <c r="M10" s="32">
        <f t="shared" si="2"/>
        <v>0.0055</v>
      </c>
      <c r="N10" s="33"/>
    </row>
    <row r="11" ht="14.25" customHeight="1">
      <c r="A11" s="24">
        <v>33.0</v>
      </c>
      <c r="C11" s="26" t="s">
        <v>53</v>
      </c>
      <c r="D11" s="26" t="s">
        <v>49</v>
      </c>
      <c r="E11" s="26" t="s">
        <v>54</v>
      </c>
      <c r="F11" s="26" t="s">
        <v>36</v>
      </c>
      <c r="G11" s="26" t="s">
        <v>55</v>
      </c>
      <c r="H11" s="27">
        <v>1.0</v>
      </c>
      <c r="I11" s="28">
        <v>5.0E-4</v>
      </c>
      <c r="J11" s="29">
        <f t="shared" si="1"/>
        <v>0.0005</v>
      </c>
      <c r="K11" s="30"/>
      <c r="L11" s="31"/>
      <c r="M11" s="32">
        <f t="shared" si="2"/>
        <v>0.0005</v>
      </c>
      <c r="N11" s="33"/>
    </row>
    <row r="12" ht="14.25" customHeight="1">
      <c r="A12" s="24">
        <v>34.0</v>
      </c>
      <c r="C12" s="26" t="s">
        <v>56</v>
      </c>
      <c r="D12" s="26" t="s">
        <v>49</v>
      </c>
      <c r="E12" s="26" t="s">
        <v>57</v>
      </c>
      <c r="F12" s="26" t="s">
        <v>36</v>
      </c>
      <c r="G12" s="26" t="s">
        <v>37</v>
      </c>
      <c r="H12" s="27">
        <v>10.0</v>
      </c>
      <c r="I12" s="28">
        <v>5.0E-4</v>
      </c>
      <c r="J12" s="29">
        <f t="shared" si="1"/>
        <v>0.005</v>
      </c>
      <c r="K12" s="30"/>
      <c r="L12" s="31"/>
      <c r="M12" s="32">
        <f t="shared" si="2"/>
        <v>0.005</v>
      </c>
      <c r="N12" s="33"/>
    </row>
    <row r="13" ht="14.25" customHeight="1">
      <c r="A13" s="24">
        <v>35.0</v>
      </c>
      <c r="C13" s="26" t="s">
        <v>58</v>
      </c>
      <c r="D13" s="34" t="s">
        <v>59</v>
      </c>
      <c r="E13" s="26" t="s">
        <v>60</v>
      </c>
      <c r="F13" s="26" t="s">
        <v>61</v>
      </c>
      <c r="G13" s="26" t="s">
        <v>62</v>
      </c>
      <c r="H13" s="27">
        <v>2.0</v>
      </c>
      <c r="I13" s="28">
        <v>0.0025</v>
      </c>
      <c r="J13" s="29">
        <f t="shared" si="1"/>
        <v>0.005</v>
      </c>
      <c r="K13" s="30"/>
      <c r="L13" s="31"/>
      <c r="M13" s="32">
        <f t="shared" si="2"/>
        <v>0.005</v>
      </c>
      <c r="N13" s="33"/>
    </row>
    <row r="14" ht="14.25" customHeight="1">
      <c r="A14" s="24">
        <v>0.0</v>
      </c>
      <c r="B14" s="25" t="s">
        <v>63</v>
      </c>
      <c r="C14" s="26" t="s">
        <v>64</v>
      </c>
      <c r="D14" s="34" t="s">
        <v>65</v>
      </c>
      <c r="E14" s="26" t="s">
        <v>66</v>
      </c>
      <c r="F14" s="26" t="s">
        <v>67</v>
      </c>
      <c r="G14" s="26" t="s">
        <v>68</v>
      </c>
      <c r="H14" s="27">
        <v>22.0</v>
      </c>
      <c r="I14" s="28">
        <v>0.0014</v>
      </c>
      <c r="J14" s="35">
        <f t="shared" si="1"/>
        <v>0.0308</v>
      </c>
      <c r="K14" s="30"/>
      <c r="L14" s="31"/>
      <c r="M14" s="36">
        <f t="shared" si="2"/>
        <v>0.0308</v>
      </c>
      <c r="N14" s="33"/>
    </row>
    <row r="15" ht="14.25" customHeight="1">
      <c r="A15" s="24">
        <v>1.0</v>
      </c>
      <c r="C15" s="26" t="s">
        <v>69</v>
      </c>
      <c r="D15" s="34" t="s">
        <v>70</v>
      </c>
      <c r="E15" s="26" t="s">
        <v>71</v>
      </c>
      <c r="F15" s="26" t="s">
        <v>72</v>
      </c>
      <c r="G15" s="26" t="s">
        <v>73</v>
      </c>
      <c r="H15" s="27">
        <v>2.0</v>
      </c>
      <c r="I15" s="28">
        <v>0.027</v>
      </c>
      <c r="J15" s="35">
        <f t="shared" si="1"/>
        <v>0.054</v>
      </c>
      <c r="K15" s="30"/>
      <c r="L15" s="31"/>
      <c r="M15" s="36">
        <f t="shared" si="2"/>
        <v>0.054</v>
      </c>
      <c r="N15" s="33"/>
    </row>
    <row r="16" ht="14.25" customHeight="1">
      <c r="A16" s="24">
        <v>2.0</v>
      </c>
      <c r="C16" s="26" t="s">
        <v>74</v>
      </c>
      <c r="D16" s="34" t="s">
        <v>75</v>
      </c>
      <c r="E16" s="26" t="s">
        <v>76</v>
      </c>
      <c r="F16" s="26" t="s">
        <v>67</v>
      </c>
      <c r="G16" s="26" t="s">
        <v>68</v>
      </c>
      <c r="H16" s="27">
        <v>4.0</v>
      </c>
      <c r="I16" s="28">
        <v>0.0027</v>
      </c>
      <c r="J16" s="35">
        <f t="shared" si="1"/>
        <v>0.0108</v>
      </c>
      <c r="K16" s="30"/>
      <c r="L16" s="31"/>
      <c r="M16" s="36">
        <f t="shared" si="2"/>
        <v>0.0108</v>
      </c>
      <c r="N16" s="33"/>
    </row>
    <row r="17" ht="14.25" customHeight="1">
      <c r="A17" s="24">
        <v>3.0</v>
      </c>
      <c r="C17" s="26" t="s">
        <v>77</v>
      </c>
      <c r="D17" s="34" t="s">
        <v>78</v>
      </c>
      <c r="E17" s="26" t="s">
        <v>79</v>
      </c>
      <c r="F17" s="26" t="s">
        <v>72</v>
      </c>
      <c r="G17" s="26" t="s">
        <v>73</v>
      </c>
      <c r="H17" s="27">
        <v>5.0</v>
      </c>
      <c r="I17" s="28">
        <v>0.0189</v>
      </c>
      <c r="J17" s="35">
        <f t="shared" si="1"/>
        <v>0.0945</v>
      </c>
      <c r="K17" s="30"/>
      <c r="L17" s="31"/>
      <c r="M17" s="36">
        <f t="shared" si="2"/>
        <v>0.0945</v>
      </c>
      <c r="N17" s="33"/>
    </row>
    <row r="18" ht="14.25" customHeight="1">
      <c r="A18" s="24">
        <v>4.0</v>
      </c>
      <c r="C18" s="26" t="s">
        <v>80</v>
      </c>
      <c r="D18" s="26" t="s">
        <v>81</v>
      </c>
      <c r="E18" s="26" t="s">
        <v>82</v>
      </c>
      <c r="F18" s="26" t="s">
        <v>67</v>
      </c>
      <c r="G18" s="26" t="s">
        <v>68</v>
      </c>
      <c r="H18" s="27">
        <v>1.0</v>
      </c>
      <c r="I18" s="28">
        <v>0.0108</v>
      </c>
      <c r="J18" s="35">
        <f t="shared" si="1"/>
        <v>0.0108</v>
      </c>
      <c r="K18" s="30"/>
      <c r="L18" s="31"/>
      <c r="M18" s="36">
        <f t="shared" si="2"/>
        <v>0.0108</v>
      </c>
      <c r="N18" s="33"/>
    </row>
    <row r="19" ht="14.25" customHeight="1">
      <c r="A19" s="24">
        <v>5.0</v>
      </c>
      <c r="C19" s="26" t="s">
        <v>83</v>
      </c>
      <c r="D19" s="26" t="s">
        <v>81</v>
      </c>
      <c r="E19" s="26" t="s">
        <v>84</v>
      </c>
      <c r="F19" s="26" t="s">
        <v>67</v>
      </c>
      <c r="G19" s="26" t="s">
        <v>68</v>
      </c>
      <c r="H19" s="27">
        <v>1.0</v>
      </c>
      <c r="I19" s="28">
        <v>0.0108</v>
      </c>
      <c r="J19" s="35">
        <f t="shared" si="1"/>
        <v>0.0108</v>
      </c>
      <c r="K19" s="30"/>
      <c r="L19" s="31"/>
      <c r="M19" s="36">
        <f t="shared" si="2"/>
        <v>0.0108</v>
      </c>
      <c r="N19" s="33"/>
    </row>
    <row r="20" ht="14.25" customHeight="1">
      <c r="A20" s="24">
        <v>6.0</v>
      </c>
      <c r="C20" s="26" t="s">
        <v>85</v>
      </c>
      <c r="D20" s="26" t="s">
        <v>81</v>
      </c>
      <c r="E20" s="26" t="s">
        <v>86</v>
      </c>
      <c r="F20" s="26" t="s">
        <v>67</v>
      </c>
      <c r="G20" s="26" t="s">
        <v>68</v>
      </c>
      <c r="H20" s="27">
        <v>1.0</v>
      </c>
      <c r="I20" s="28">
        <v>0.0108</v>
      </c>
      <c r="J20" s="35">
        <f t="shared" si="1"/>
        <v>0.0108</v>
      </c>
      <c r="K20" s="30"/>
      <c r="L20" s="31"/>
      <c r="M20" s="36">
        <f t="shared" si="2"/>
        <v>0.0108</v>
      </c>
      <c r="N20" s="33"/>
    </row>
    <row r="21" ht="14.25" customHeight="1">
      <c r="A21" s="24">
        <v>7.0</v>
      </c>
      <c r="C21" s="26" t="s">
        <v>87</v>
      </c>
      <c r="D21" s="34" t="s">
        <v>88</v>
      </c>
      <c r="E21" s="26" t="s">
        <v>89</v>
      </c>
      <c r="F21" s="26" t="s">
        <v>72</v>
      </c>
      <c r="G21" s="26" t="s">
        <v>73</v>
      </c>
      <c r="H21" s="27">
        <v>1.0</v>
      </c>
      <c r="I21" s="28">
        <v>0.0197</v>
      </c>
      <c r="J21" s="35">
        <f t="shared" si="1"/>
        <v>0.0197</v>
      </c>
      <c r="K21" s="30"/>
      <c r="L21" s="31"/>
      <c r="M21" s="36">
        <f t="shared" si="2"/>
        <v>0.0197</v>
      </c>
      <c r="N21" s="33"/>
    </row>
    <row r="22" ht="14.25" customHeight="1">
      <c r="A22" s="24">
        <v>8.0</v>
      </c>
      <c r="C22" s="26" t="s">
        <v>90</v>
      </c>
      <c r="D22" s="34" t="s">
        <v>91</v>
      </c>
      <c r="E22" s="26" t="s">
        <v>92</v>
      </c>
      <c r="F22" s="26" t="s">
        <v>93</v>
      </c>
      <c r="G22" s="26" t="s">
        <v>94</v>
      </c>
      <c r="H22" s="27">
        <v>2.0</v>
      </c>
      <c r="I22" s="28">
        <v>0.1334</v>
      </c>
      <c r="J22" s="35">
        <f t="shared" si="1"/>
        <v>0.2668</v>
      </c>
      <c r="K22" s="37" t="s">
        <v>95</v>
      </c>
      <c r="L22" s="28">
        <v>0.0508</v>
      </c>
      <c r="M22" s="36">
        <f t="shared" si="2"/>
        <v>0.1016</v>
      </c>
      <c r="N22" s="38" t="s">
        <v>96</v>
      </c>
      <c r="O22" s="1"/>
    </row>
    <row r="23" ht="14.25" customHeight="1">
      <c r="A23" s="24">
        <v>9.0</v>
      </c>
      <c r="C23" s="26" t="s">
        <v>97</v>
      </c>
      <c r="D23" s="34" t="s">
        <v>98</v>
      </c>
      <c r="E23" s="26" t="s">
        <v>99</v>
      </c>
      <c r="F23" s="26" t="s">
        <v>67</v>
      </c>
      <c r="G23" s="26" t="s">
        <v>68</v>
      </c>
      <c r="H23" s="27">
        <v>1.0</v>
      </c>
      <c r="I23" s="28">
        <v>0.0025</v>
      </c>
      <c r="J23" s="35">
        <f t="shared" si="1"/>
        <v>0.0025</v>
      </c>
      <c r="K23" s="30"/>
      <c r="L23" s="31"/>
      <c r="M23" s="36">
        <f t="shared" si="2"/>
        <v>0.0025</v>
      </c>
      <c r="N23" s="33"/>
    </row>
    <row r="24" ht="14.25" customHeight="1">
      <c r="A24" s="24">
        <v>10.0</v>
      </c>
      <c r="C24" s="26" t="s">
        <v>100</v>
      </c>
      <c r="D24" s="34" t="s">
        <v>101</v>
      </c>
      <c r="E24" s="26" t="s">
        <v>102</v>
      </c>
      <c r="F24" s="26" t="s">
        <v>67</v>
      </c>
      <c r="G24" s="26" t="s">
        <v>68</v>
      </c>
      <c r="H24" s="27">
        <v>1.0</v>
      </c>
      <c r="I24" s="28">
        <v>0.0033</v>
      </c>
      <c r="J24" s="35">
        <f t="shared" si="1"/>
        <v>0.0033</v>
      </c>
      <c r="K24" s="30"/>
      <c r="L24" s="31"/>
      <c r="M24" s="36">
        <f t="shared" si="2"/>
        <v>0.0033</v>
      </c>
      <c r="N24" s="33"/>
    </row>
    <row r="25" ht="14.25" customHeight="1">
      <c r="A25" s="39">
        <v>15.0</v>
      </c>
      <c r="B25" s="40" t="s">
        <v>103</v>
      </c>
      <c r="C25" s="41" t="s">
        <v>104</v>
      </c>
      <c r="D25" s="42" t="s">
        <v>105</v>
      </c>
      <c r="E25" s="41" t="s">
        <v>106</v>
      </c>
      <c r="F25" s="41" t="s">
        <v>107</v>
      </c>
      <c r="G25" s="41" t="s">
        <v>108</v>
      </c>
      <c r="H25" s="43">
        <v>1.0</v>
      </c>
      <c r="I25" s="44">
        <v>0.1648</v>
      </c>
      <c r="J25" s="45">
        <f t="shared" si="1"/>
        <v>0.1648</v>
      </c>
      <c r="K25" s="46"/>
      <c r="L25" s="44">
        <v>0.0</v>
      </c>
      <c r="M25" s="47">
        <f t="shared" si="2"/>
        <v>0</v>
      </c>
      <c r="N25" s="48" t="s">
        <v>109</v>
      </c>
      <c r="O25" s="1"/>
    </row>
    <row r="26" ht="14.25" customHeight="1">
      <c r="A26" s="39">
        <v>20.0</v>
      </c>
      <c r="B26" s="40" t="s">
        <v>110</v>
      </c>
      <c r="C26" s="42" t="s">
        <v>111</v>
      </c>
      <c r="D26" s="42" t="s">
        <v>112</v>
      </c>
      <c r="E26" s="41" t="s">
        <v>113</v>
      </c>
      <c r="F26" s="41" t="s">
        <v>111</v>
      </c>
      <c r="G26" s="41" t="s">
        <v>114</v>
      </c>
      <c r="H26" s="43">
        <v>1.0</v>
      </c>
      <c r="I26" s="44">
        <v>0.6645</v>
      </c>
      <c r="J26" s="45">
        <f t="shared" si="1"/>
        <v>0.6645</v>
      </c>
      <c r="K26" s="46"/>
      <c r="L26" s="44">
        <v>0.0</v>
      </c>
      <c r="M26" s="47">
        <f t="shared" si="2"/>
        <v>0</v>
      </c>
      <c r="N26" s="48" t="s">
        <v>115</v>
      </c>
      <c r="O26" s="1"/>
    </row>
    <row r="27" ht="14.25" customHeight="1">
      <c r="A27" s="24">
        <v>39.0</v>
      </c>
      <c r="B27" s="49" t="s">
        <v>116</v>
      </c>
      <c r="C27" s="50" t="s">
        <v>117</v>
      </c>
      <c r="D27" s="51" t="s">
        <v>118</v>
      </c>
      <c r="E27" s="51" t="s">
        <v>119</v>
      </c>
      <c r="F27" s="51" t="s">
        <v>120</v>
      </c>
      <c r="G27" s="51" t="s">
        <v>121</v>
      </c>
      <c r="H27" s="52">
        <v>1.0</v>
      </c>
      <c r="I27" s="53">
        <v>1.299</v>
      </c>
      <c r="J27" s="54">
        <f t="shared" si="1"/>
        <v>1.299</v>
      </c>
      <c r="K27" s="55"/>
      <c r="L27" s="53">
        <v>0.0</v>
      </c>
      <c r="M27" s="56">
        <f t="shared" si="2"/>
        <v>0</v>
      </c>
      <c r="N27" s="57" t="s">
        <v>115</v>
      </c>
      <c r="O27" s="1"/>
    </row>
    <row r="28" ht="14.25" customHeight="1">
      <c r="A28" s="24">
        <v>13.0</v>
      </c>
      <c r="B28" s="25" t="s">
        <v>122</v>
      </c>
      <c r="C28" s="26" t="s">
        <v>123</v>
      </c>
      <c r="D28" s="26" t="s">
        <v>124</v>
      </c>
      <c r="E28" s="26" t="s">
        <v>125</v>
      </c>
      <c r="F28" s="26" t="s">
        <v>126</v>
      </c>
      <c r="G28" s="26" t="s">
        <v>127</v>
      </c>
      <c r="H28" s="27">
        <v>1.0</v>
      </c>
      <c r="I28" s="28">
        <v>0.0107</v>
      </c>
      <c r="J28" s="35">
        <f t="shared" si="1"/>
        <v>0.0107</v>
      </c>
      <c r="K28" s="30"/>
      <c r="L28" s="31"/>
      <c r="M28" s="36">
        <f t="shared" si="2"/>
        <v>0.0107</v>
      </c>
      <c r="N28" s="33"/>
    </row>
    <row r="29" ht="14.25" customHeight="1">
      <c r="A29" s="58">
        <v>24.0</v>
      </c>
      <c r="B29" s="49" t="s">
        <v>128</v>
      </c>
      <c r="C29" s="50" t="s">
        <v>129</v>
      </c>
      <c r="D29" s="50" t="s">
        <v>130</v>
      </c>
      <c r="E29" s="51" t="s">
        <v>131</v>
      </c>
      <c r="F29" s="51" t="s">
        <v>132</v>
      </c>
      <c r="G29" s="51" t="s">
        <v>133</v>
      </c>
      <c r="H29" s="52">
        <v>2.0</v>
      </c>
      <c r="I29" s="53">
        <v>0.0108</v>
      </c>
      <c r="J29" s="54">
        <f t="shared" si="1"/>
        <v>0.0216</v>
      </c>
      <c r="K29" s="55"/>
      <c r="L29" s="53">
        <v>0.0</v>
      </c>
      <c r="M29" s="56">
        <f t="shared" si="2"/>
        <v>0</v>
      </c>
      <c r="N29" s="59"/>
    </row>
    <row r="30" ht="14.25" customHeight="1">
      <c r="A30" s="24">
        <v>23.0</v>
      </c>
      <c r="B30" s="25" t="s">
        <v>134</v>
      </c>
      <c r="C30" s="26" t="s">
        <v>135</v>
      </c>
      <c r="D30" s="34" t="s">
        <v>136</v>
      </c>
      <c r="E30" s="26" t="s">
        <v>137</v>
      </c>
      <c r="F30" s="26" t="s">
        <v>138</v>
      </c>
      <c r="G30" s="26" t="s">
        <v>139</v>
      </c>
      <c r="H30" s="27">
        <v>2.0</v>
      </c>
      <c r="I30" s="28">
        <v>0.256</v>
      </c>
      <c r="J30" s="35">
        <f t="shared" si="1"/>
        <v>0.512</v>
      </c>
      <c r="K30" s="60" t="s">
        <v>140</v>
      </c>
      <c r="L30" s="28">
        <v>0.0111</v>
      </c>
      <c r="M30" s="36">
        <f t="shared" si="2"/>
        <v>0.0222</v>
      </c>
      <c r="N30" s="33"/>
    </row>
    <row r="31" ht="14.25" customHeight="1">
      <c r="A31" s="24">
        <v>18.0</v>
      </c>
      <c r="B31" s="25" t="s">
        <v>141</v>
      </c>
      <c r="C31" s="26" t="s">
        <v>142</v>
      </c>
      <c r="D31" s="34" t="s">
        <v>143</v>
      </c>
      <c r="E31" s="26" t="s">
        <v>144</v>
      </c>
      <c r="F31" s="26" t="s">
        <v>145</v>
      </c>
      <c r="G31" s="26" t="s">
        <v>146</v>
      </c>
      <c r="H31" s="27">
        <v>1.0</v>
      </c>
      <c r="I31" s="28">
        <v>0.2325</v>
      </c>
      <c r="J31" s="35">
        <f t="shared" si="1"/>
        <v>0.2325</v>
      </c>
      <c r="K31" s="37" t="s">
        <v>147</v>
      </c>
      <c r="L31" s="28">
        <v>0.03</v>
      </c>
      <c r="M31" s="36">
        <f t="shared" si="2"/>
        <v>0.03</v>
      </c>
      <c r="N31" s="33"/>
      <c r="O31" s="61" t="s">
        <v>148</v>
      </c>
    </row>
    <row r="32" ht="14.25" customHeight="1">
      <c r="A32" s="24">
        <v>17.0</v>
      </c>
      <c r="B32" s="25" t="s">
        <v>149</v>
      </c>
      <c r="C32" s="26" t="s">
        <v>150</v>
      </c>
      <c r="D32" s="26" t="s">
        <v>151</v>
      </c>
      <c r="E32" s="26" t="s">
        <v>152</v>
      </c>
      <c r="F32" s="26" t="s">
        <v>153</v>
      </c>
      <c r="G32" s="26" t="s">
        <v>150</v>
      </c>
      <c r="H32" s="27">
        <v>1.0</v>
      </c>
      <c r="I32" s="28">
        <v>3.45</v>
      </c>
      <c r="J32" s="35">
        <f t="shared" si="1"/>
        <v>3.45</v>
      </c>
      <c r="K32" s="62" t="s">
        <v>154</v>
      </c>
      <c r="L32" s="28">
        <v>0.3645</v>
      </c>
      <c r="M32" s="36">
        <f t="shared" si="2"/>
        <v>0.3645</v>
      </c>
      <c r="N32" s="38" t="s">
        <v>155</v>
      </c>
      <c r="O32" s="63" t="s">
        <v>156</v>
      </c>
    </row>
    <row r="33" ht="14.25" customHeight="1">
      <c r="A33" s="24">
        <v>11.0</v>
      </c>
      <c r="B33" s="25" t="s">
        <v>157</v>
      </c>
      <c r="C33" s="26" t="s">
        <v>158</v>
      </c>
      <c r="D33" s="26" t="s">
        <v>158</v>
      </c>
      <c r="E33" s="26" t="s">
        <v>159</v>
      </c>
      <c r="F33" s="26" t="s">
        <v>160</v>
      </c>
      <c r="G33" s="26" t="s">
        <v>161</v>
      </c>
      <c r="H33" s="27">
        <v>1.0</v>
      </c>
      <c r="I33" s="28">
        <v>0.0359</v>
      </c>
      <c r="J33" s="35">
        <f t="shared" si="1"/>
        <v>0.0359</v>
      </c>
      <c r="K33" s="30"/>
      <c r="L33" s="31"/>
      <c r="M33" s="36">
        <f t="shared" si="2"/>
        <v>0.0359</v>
      </c>
      <c r="N33" s="33"/>
    </row>
    <row r="34" ht="14.25" customHeight="1">
      <c r="A34" s="24">
        <v>22.0</v>
      </c>
      <c r="B34" s="25" t="s">
        <v>162</v>
      </c>
      <c r="C34" s="26" t="s">
        <v>163</v>
      </c>
      <c r="D34" s="34" t="s">
        <v>164</v>
      </c>
      <c r="E34" s="26" t="s">
        <v>165</v>
      </c>
      <c r="F34" s="26" t="s">
        <v>166</v>
      </c>
      <c r="G34" s="26" t="s">
        <v>167</v>
      </c>
      <c r="H34" s="27">
        <v>1.0</v>
      </c>
      <c r="I34" s="64">
        <v>0.0483</v>
      </c>
      <c r="J34" s="65">
        <f t="shared" si="1"/>
        <v>0.0483</v>
      </c>
      <c r="K34" s="30"/>
      <c r="L34" s="31"/>
      <c r="M34" s="36">
        <f t="shared" si="2"/>
        <v>0.0483</v>
      </c>
      <c r="N34" s="33"/>
    </row>
    <row r="35" ht="14.25" customHeight="1">
      <c r="A35" s="24">
        <v>19.0</v>
      </c>
      <c r="B35" s="25" t="s">
        <v>168</v>
      </c>
      <c r="C35" s="26" t="s">
        <v>169</v>
      </c>
      <c r="D35" s="34" t="s">
        <v>170</v>
      </c>
      <c r="E35" s="26" t="s">
        <v>171</v>
      </c>
      <c r="F35" s="26" t="s">
        <v>172</v>
      </c>
      <c r="G35" s="26" t="s">
        <v>173</v>
      </c>
      <c r="H35" s="27">
        <v>1.0</v>
      </c>
      <c r="I35" s="28">
        <v>0.0569</v>
      </c>
      <c r="J35" s="35">
        <f t="shared" si="1"/>
        <v>0.0569</v>
      </c>
      <c r="K35" s="30"/>
      <c r="L35" s="31"/>
      <c r="M35" s="36">
        <f t="shared" si="2"/>
        <v>0.0569</v>
      </c>
      <c r="N35" s="33"/>
    </row>
    <row r="36" ht="14.25" customHeight="1">
      <c r="A36" s="24">
        <v>38.0</v>
      </c>
      <c r="B36" s="25" t="s">
        <v>174</v>
      </c>
      <c r="C36" s="34" t="s">
        <v>175</v>
      </c>
      <c r="D36" s="26" t="s">
        <v>176</v>
      </c>
      <c r="E36" s="26" t="s">
        <v>177</v>
      </c>
      <c r="F36" s="26" t="s">
        <v>178</v>
      </c>
      <c r="G36" s="26" t="s">
        <v>179</v>
      </c>
      <c r="H36" s="27">
        <v>1.0</v>
      </c>
      <c r="I36" s="28">
        <v>0.0912</v>
      </c>
      <c r="J36" s="35">
        <f t="shared" si="1"/>
        <v>0.0912</v>
      </c>
      <c r="K36" s="30"/>
      <c r="L36" s="31"/>
      <c r="M36" s="36">
        <f t="shared" si="2"/>
        <v>0.0912</v>
      </c>
      <c r="N36" s="33"/>
    </row>
    <row r="37" ht="14.25" customHeight="1">
      <c r="A37" s="24">
        <v>37.0</v>
      </c>
      <c r="B37" s="25" t="s">
        <v>180</v>
      </c>
      <c r="C37" s="34" t="s">
        <v>181</v>
      </c>
      <c r="D37" s="26" t="s">
        <v>182</v>
      </c>
      <c r="E37" s="26" t="s">
        <v>183</v>
      </c>
      <c r="F37" s="26" t="s">
        <v>184</v>
      </c>
      <c r="G37" s="26" t="s">
        <v>185</v>
      </c>
      <c r="H37" s="27">
        <v>1.0</v>
      </c>
      <c r="I37" s="28">
        <v>0.113</v>
      </c>
      <c r="J37" s="35">
        <f t="shared" si="1"/>
        <v>0.113</v>
      </c>
      <c r="K37" s="30"/>
      <c r="L37" s="31"/>
      <c r="M37" s="36">
        <f t="shared" si="2"/>
        <v>0.113</v>
      </c>
      <c r="N37" s="33"/>
    </row>
    <row r="38" ht="14.25" customHeight="1">
      <c r="A38" s="24">
        <v>12.0</v>
      </c>
      <c r="B38" s="25" t="s">
        <v>186</v>
      </c>
      <c r="C38" s="26" t="s">
        <v>187</v>
      </c>
      <c r="D38" s="34" t="s">
        <v>188</v>
      </c>
      <c r="E38" s="26" t="s">
        <v>189</v>
      </c>
      <c r="F38" s="26" t="s">
        <v>190</v>
      </c>
      <c r="G38" s="26" t="s">
        <v>191</v>
      </c>
      <c r="H38" s="27">
        <v>3.0</v>
      </c>
      <c r="I38" s="28">
        <v>0.0402</v>
      </c>
      <c r="J38" s="35">
        <f t="shared" si="1"/>
        <v>0.1206</v>
      </c>
      <c r="K38" s="30"/>
      <c r="L38" s="31"/>
      <c r="M38" s="36">
        <f t="shared" si="2"/>
        <v>0.1206</v>
      </c>
      <c r="N38" s="33"/>
    </row>
    <row r="39" ht="14.25" customHeight="1">
      <c r="A39" s="24">
        <v>36.0</v>
      </c>
      <c r="B39" s="25" t="s">
        <v>192</v>
      </c>
      <c r="C39" s="34" t="s">
        <v>193</v>
      </c>
      <c r="D39" s="26" t="s">
        <v>194</v>
      </c>
      <c r="E39" s="26" t="s">
        <v>195</v>
      </c>
      <c r="F39" s="26" t="s">
        <v>196</v>
      </c>
      <c r="G39" s="26" t="s">
        <v>197</v>
      </c>
      <c r="H39" s="27">
        <v>7.0</v>
      </c>
      <c r="I39" s="28">
        <v>0.0201</v>
      </c>
      <c r="J39" s="35">
        <f t="shared" si="1"/>
        <v>0.1407</v>
      </c>
      <c r="K39" s="30"/>
      <c r="L39" s="31"/>
      <c r="M39" s="36">
        <f t="shared" si="2"/>
        <v>0.1407</v>
      </c>
      <c r="N39" s="33"/>
    </row>
    <row r="40" ht="14.25" customHeight="1">
      <c r="A40" s="24">
        <v>14.0</v>
      </c>
      <c r="B40" s="25" t="s">
        <v>198</v>
      </c>
      <c r="C40" s="26" t="s">
        <v>199</v>
      </c>
      <c r="D40" s="34" t="s">
        <v>200</v>
      </c>
      <c r="E40" s="26" t="s">
        <v>201</v>
      </c>
      <c r="F40" s="26" t="s">
        <v>107</v>
      </c>
      <c r="G40" s="26" t="s">
        <v>108</v>
      </c>
      <c r="H40" s="27">
        <v>1.0</v>
      </c>
      <c r="I40" s="28">
        <v>0.1494</v>
      </c>
      <c r="J40" s="35">
        <f t="shared" si="1"/>
        <v>0.1494</v>
      </c>
      <c r="K40" s="30"/>
      <c r="L40" s="31"/>
      <c r="M40" s="36">
        <f t="shared" si="2"/>
        <v>0.1494</v>
      </c>
      <c r="N40" s="33"/>
    </row>
    <row r="41" ht="14.25" customHeight="1">
      <c r="A41" s="24">
        <v>40.0</v>
      </c>
      <c r="B41" s="25" t="s">
        <v>202</v>
      </c>
      <c r="C41" s="34" t="s">
        <v>203</v>
      </c>
      <c r="D41" s="34" t="s">
        <v>204</v>
      </c>
      <c r="E41" s="26" t="s">
        <v>205</v>
      </c>
      <c r="F41" s="26" t="s">
        <v>206</v>
      </c>
      <c r="G41" s="26" t="s">
        <v>207</v>
      </c>
      <c r="H41" s="27">
        <v>1.0</v>
      </c>
      <c r="I41" s="28">
        <v>1.4535</v>
      </c>
      <c r="J41" s="35">
        <f t="shared" si="1"/>
        <v>1.4535</v>
      </c>
      <c r="K41" s="37" t="s">
        <v>208</v>
      </c>
      <c r="L41" s="28">
        <v>0.2</v>
      </c>
      <c r="M41" s="36">
        <f t="shared" si="2"/>
        <v>0.2</v>
      </c>
      <c r="N41" s="38" t="s">
        <v>209</v>
      </c>
      <c r="O41" s="1"/>
    </row>
    <row r="42" ht="14.25" customHeight="1">
      <c r="A42" s="24">
        <v>16.0</v>
      </c>
      <c r="B42" s="25" t="s">
        <v>210</v>
      </c>
      <c r="C42" s="26" t="s">
        <v>211</v>
      </c>
      <c r="D42" s="34" t="s">
        <v>212</v>
      </c>
      <c r="E42" s="26" t="s">
        <v>213</v>
      </c>
      <c r="F42" s="26" t="s">
        <v>214</v>
      </c>
      <c r="G42" s="26" t="s">
        <v>215</v>
      </c>
      <c r="H42" s="27">
        <v>1.0</v>
      </c>
      <c r="I42" s="64">
        <v>2.0</v>
      </c>
      <c r="J42" s="66">
        <v>2.0</v>
      </c>
      <c r="K42" s="30"/>
      <c r="L42" s="28">
        <v>0.4</v>
      </c>
      <c r="M42" s="36">
        <f t="shared" si="2"/>
        <v>0.4</v>
      </c>
      <c r="N42" s="38" t="s">
        <v>216</v>
      </c>
      <c r="O42" s="1"/>
    </row>
    <row r="43" ht="14.25" customHeight="1">
      <c r="A43" s="24">
        <v>21.0</v>
      </c>
      <c r="B43" s="25" t="s">
        <v>217</v>
      </c>
      <c r="C43" s="34" t="s">
        <v>218</v>
      </c>
      <c r="D43" s="34" t="s">
        <v>219</v>
      </c>
      <c r="E43" s="26" t="s">
        <v>220</v>
      </c>
      <c r="F43" s="26" t="s">
        <v>221</v>
      </c>
      <c r="G43" s="26" t="s">
        <v>221</v>
      </c>
      <c r="H43" s="27">
        <v>2.0</v>
      </c>
      <c r="I43" s="28">
        <v>0.2114</v>
      </c>
      <c r="J43" s="35">
        <f t="shared" ref="J43:J45" si="3">I43*H43</f>
        <v>0.4228</v>
      </c>
      <c r="K43" s="30"/>
      <c r="L43" s="28">
        <v>0.07</v>
      </c>
      <c r="M43" s="36">
        <f t="shared" si="2"/>
        <v>0.14</v>
      </c>
      <c r="N43" s="38" t="s">
        <v>222</v>
      </c>
      <c r="O43" s="63" t="s">
        <v>223</v>
      </c>
    </row>
    <row r="44" ht="14.25" customHeight="1">
      <c r="A44" s="24">
        <v>41.0</v>
      </c>
      <c r="B44" s="1"/>
      <c r="C44" s="1" t="s">
        <v>224</v>
      </c>
      <c r="H44" s="67">
        <v>1.0</v>
      </c>
      <c r="I44" s="28">
        <v>0.427</v>
      </c>
      <c r="J44" s="35">
        <f t="shared" si="3"/>
        <v>0.427</v>
      </c>
      <c r="K44" s="30"/>
      <c r="L44" s="28"/>
      <c r="M44" s="36">
        <f t="shared" si="2"/>
        <v>0.427</v>
      </c>
      <c r="N44" s="38"/>
      <c r="O44" s="1"/>
    </row>
    <row r="45" ht="14.25" customHeight="1">
      <c r="A45" s="24"/>
      <c r="B45" s="1"/>
      <c r="C45" s="1" t="s">
        <v>225</v>
      </c>
      <c r="H45" s="67">
        <v>1.0</v>
      </c>
      <c r="I45" s="28">
        <v>2.0</v>
      </c>
      <c r="J45" s="35">
        <f t="shared" si="3"/>
        <v>2</v>
      </c>
      <c r="K45" s="30"/>
      <c r="L45" s="31"/>
      <c r="M45" s="68">
        <v>1.0</v>
      </c>
      <c r="N45" s="38" t="s">
        <v>226</v>
      </c>
      <c r="O45" s="1"/>
    </row>
    <row r="46" ht="14.25" customHeight="1">
      <c r="A46" s="24"/>
      <c r="B46" s="1"/>
      <c r="C46" s="1"/>
      <c r="H46" s="67"/>
      <c r="I46" s="28"/>
      <c r="J46" s="35"/>
      <c r="K46" s="30"/>
      <c r="L46" s="28"/>
      <c r="M46" s="36"/>
      <c r="N46" s="38"/>
      <c r="O46" s="1"/>
    </row>
    <row r="47" ht="14.25" customHeight="1">
      <c r="A47" s="24"/>
      <c r="B47" s="1"/>
      <c r="C47" s="1" t="s">
        <v>227</v>
      </c>
      <c r="H47" s="67">
        <v>1.0</v>
      </c>
      <c r="I47" s="28">
        <v>7.0</v>
      </c>
      <c r="J47" s="35">
        <f t="shared" ref="J47:J49" si="4">I47*H47</f>
        <v>7</v>
      </c>
      <c r="K47" s="30"/>
      <c r="L47" s="28">
        <v>1.8</v>
      </c>
      <c r="M47" s="36">
        <f t="shared" ref="M47:M49" si="5">IF(ISNUMBER(L47), L47, I47) * H47</f>
        <v>1.8</v>
      </c>
      <c r="N47" s="38" t="s">
        <v>228</v>
      </c>
      <c r="O47" s="1"/>
    </row>
    <row r="48" ht="14.25" customHeight="1">
      <c r="A48" s="24"/>
      <c r="B48" s="1"/>
      <c r="C48" s="1" t="s">
        <v>229</v>
      </c>
      <c r="D48" s="1" t="s">
        <v>230</v>
      </c>
      <c r="H48" s="67">
        <v>1.0</v>
      </c>
      <c r="I48" s="28">
        <v>0.6</v>
      </c>
      <c r="J48" s="35">
        <f t="shared" si="4"/>
        <v>0.6</v>
      </c>
      <c r="K48" s="30"/>
      <c r="L48" s="31"/>
      <c r="M48" s="36">
        <f t="shared" si="5"/>
        <v>0.6</v>
      </c>
      <c r="N48" s="33"/>
    </row>
    <row r="49" ht="14.25" customHeight="1">
      <c r="A49" s="30"/>
      <c r="B49" s="1"/>
      <c r="C49" s="1" t="s">
        <v>231</v>
      </c>
      <c r="D49" s="1" t="s">
        <v>232</v>
      </c>
      <c r="H49" s="67">
        <v>1.0</v>
      </c>
      <c r="I49" s="28">
        <v>0.1</v>
      </c>
      <c r="J49" s="35">
        <f t="shared" si="4"/>
        <v>0.1</v>
      </c>
      <c r="K49" s="30"/>
      <c r="L49" s="31"/>
      <c r="M49" s="36">
        <f t="shared" si="5"/>
        <v>0.1</v>
      </c>
      <c r="N49" s="33"/>
    </row>
    <row r="50" ht="14.25" customHeight="1">
      <c r="A50" s="69"/>
      <c r="B50" s="70"/>
      <c r="C50" s="71" t="s">
        <v>233</v>
      </c>
      <c r="D50" s="72"/>
      <c r="E50" s="72"/>
      <c r="F50" s="72"/>
      <c r="G50" s="72"/>
      <c r="H50" s="73"/>
      <c r="I50" s="74"/>
      <c r="J50" s="75">
        <f>SUM(J3:J49)</f>
        <v>21.6517</v>
      </c>
      <c r="K50" s="76"/>
      <c r="L50" s="74"/>
      <c r="M50" s="77">
        <f>SUM(M3:M49)</f>
        <v>6.2225</v>
      </c>
      <c r="N50" s="78"/>
    </row>
    <row r="51" ht="14.25" customHeight="1">
      <c r="H51" s="79"/>
      <c r="I51" s="31"/>
      <c r="J51" s="36"/>
      <c r="L51" s="31"/>
      <c r="M51" s="36"/>
    </row>
    <row r="52" ht="14.25" customHeight="1">
      <c r="H52" s="79"/>
      <c r="I52" s="31"/>
      <c r="J52" s="36"/>
      <c r="L52" s="31"/>
      <c r="M52" s="36"/>
    </row>
    <row r="53" ht="14.25" customHeight="1">
      <c r="B53" s="1"/>
      <c r="C53" s="1" t="s">
        <v>234</v>
      </c>
      <c r="D53" s="4">
        <v>0.03</v>
      </c>
      <c r="H53" s="79"/>
      <c r="I53" s="31"/>
      <c r="J53" s="36"/>
      <c r="L53" s="31"/>
      <c r="M53" s="68">
        <v>0.24</v>
      </c>
    </row>
    <row r="54" ht="14.25" customHeight="1">
      <c r="B54" s="1"/>
      <c r="C54" s="1" t="s">
        <v>235</v>
      </c>
      <c r="D54" s="1" t="s">
        <v>236</v>
      </c>
      <c r="H54" s="79"/>
      <c r="I54" s="31"/>
      <c r="J54" s="36"/>
      <c r="L54" s="31"/>
      <c r="M54" s="68">
        <v>0.14</v>
      </c>
    </row>
    <row r="55" ht="14.25" customHeight="1">
      <c r="B55" s="1"/>
      <c r="C55" s="1" t="s">
        <v>237</v>
      </c>
      <c r="H55" s="79"/>
      <c r="I55" s="31"/>
      <c r="J55" s="36"/>
      <c r="L55" s="31"/>
      <c r="M55" s="68">
        <v>1.0</v>
      </c>
    </row>
    <row r="56" ht="14.25" customHeight="1">
      <c r="B56" s="1"/>
      <c r="C56" s="1" t="s">
        <v>238</v>
      </c>
      <c r="D56" s="1" t="s">
        <v>239</v>
      </c>
      <c r="H56" s="80">
        <v>1.0</v>
      </c>
      <c r="I56" s="28">
        <v>0.5</v>
      </c>
      <c r="J56" s="36">
        <f>I56*H56</f>
        <v>0.5</v>
      </c>
      <c r="L56" s="31"/>
      <c r="M56" s="36">
        <f>IF(ISNUMBER(L56), L56, I56) * H56</f>
        <v>0.5</v>
      </c>
    </row>
    <row r="57" ht="14.25" customHeight="1">
      <c r="B57" s="2"/>
      <c r="C57" s="81" t="s">
        <v>240</v>
      </c>
      <c r="D57" s="82"/>
      <c r="E57" s="82"/>
      <c r="F57" s="82"/>
      <c r="G57" s="82"/>
      <c r="H57" s="83"/>
      <c r="I57" s="84"/>
      <c r="J57" s="85"/>
      <c r="K57" s="82"/>
      <c r="L57" s="84"/>
      <c r="M57" s="86">
        <f>sum(M50:M56)</f>
        <v>8.1025</v>
      </c>
    </row>
    <row r="58" ht="14.25" customHeight="1">
      <c r="H58" s="79"/>
      <c r="I58" s="31"/>
      <c r="J58" s="36"/>
      <c r="L58" s="31"/>
      <c r="M58" s="36"/>
    </row>
    <row r="59" ht="14.25" customHeight="1">
      <c r="B59" s="1"/>
      <c r="C59" s="1" t="s">
        <v>241</v>
      </c>
      <c r="H59" s="79"/>
      <c r="I59" s="31"/>
      <c r="J59" s="36"/>
      <c r="L59" s="31"/>
      <c r="M59" s="68">
        <v>2.0</v>
      </c>
    </row>
    <row r="60" ht="14.25" customHeight="1">
      <c r="B60" s="1"/>
      <c r="C60" s="1" t="s">
        <v>242</v>
      </c>
      <c r="D60" s="87">
        <v>0.4</v>
      </c>
      <c r="H60" s="79"/>
      <c r="I60" s="31"/>
      <c r="J60" s="36"/>
      <c r="L60" s="31"/>
      <c r="M60" s="68">
        <f>D60*(M57-M53)</f>
        <v>3.145</v>
      </c>
    </row>
    <row r="61" ht="14.25" customHeight="1">
      <c r="B61" s="1"/>
      <c r="C61" s="1" t="s">
        <v>243</v>
      </c>
      <c r="D61" s="1"/>
      <c r="H61" s="79"/>
      <c r="I61" s="31"/>
      <c r="J61" s="36"/>
      <c r="L61" s="31"/>
      <c r="M61" s="68">
        <v>0.15</v>
      </c>
    </row>
    <row r="62" ht="14.25" customHeight="1">
      <c r="B62" s="1"/>
      <c r="C62" s="1" t="s">
        <v>244</v>
      </c>
      <c r="H62" s="79"/>
      <c r="I62" s="31"/>
      <c r="J62" s="36"/>
      <c r="L62" s="31"/>
      <c r="M62" s="68">
        <v>0.4</v>
      </c>
    </row>
    <row r="63" ht="14.25" customHeight="1">
      <c r="B63" s="2"/>
      <c r="C63" s="81" t="s">
        <v>245</v>
      </c>
      <c r="D63" s="88"/>
      <c r="E63" s="88"/>
      <c r="F63" s="88"/>
      <c r="G63" s="88"/>
      <c r="H63" s="89"/>
      <c r="I63" s="90"/>
      <c r="J63" s="91"/>
      <c r="K63" s="88"/>
      <c r="L63" s="90"/>
      <c r="M63" s="91">
        <f>sum(M57:M62)</f>
        <v>13.7975</v>
      </c>
    </row>
    <row r="64" ht="14.25" customHeight="1">
      <c r="H64" s="79"/>
      <c r="I64" s="31"/>
      <c r="J64" s="36"/>
      <c r="L64" s="31"/>
      <c r="M64" s="36"/>
    </row>
    <row r="65" ht="14.25" customHeight="1">
      <c r="B65" s="1"/>
      <c r="C65" s="1" t="s">
        <v>246</v>
      </c>
      <c r="H65" s="79"/>
      <c r="I65" s="31"/>
      <c r="J65" s="36"/>
      <c r="L65" s="31"/>
      <c r="M65" s="68">
        <v>3.43</v>
      </c>
      <c r="N65" s="92" t="s">
        <v>247</v>
      </c>
      <c r="O65" s="92"/>
    </row>
    <row r="66" ht="14.25" customHeight="1">
      <c r="B66" s="1"/>
      <c r="C66" s="1" t="s">
        <v>248</v>
      </c>
      <c r="D66" s="1" t="s">
        <v>249</v>
      </c>
      <c r="H66" s="79"/>
      <c r="I66" s="31"/>
      <c r="J66" s="36"/>
      <c r="L66" s="31"/>
      <c r="M66" s="68">
        <v>4.0</v>
      </c>
      <c r="O66" s="92"/>
    </row>
    <row r="67" ht="14.25" customHeight="1">
      <c r="B67" s="1"/>
      <c r="C67" s="1" t="s">
        <v>250</v>
      </c>
      <c r="H67" s="79"/>
      <c r="I67" s="31"/>
      <c r="J67" s="36"/>
      <c r="L67" s="31"/>
      <c r="M67" s="68">
        <v>0.2</v>
      </c>
      <c r="O67" s="92"/>
    </row>
    <row r="68" ht="14.25" customHeight="1">
      <c r="B68" s="2"/>
      <c r="C68" s="81" t="s">
        <v>251</v>
      </c>
      <c r="D68" s="88"/>
      <c r="E68" s="88"/>
      <c r="F68" s="88"/>
      <c r="G68" s="88"/>
      <c r="H68" s="89"/>
      <c r="I68" s="90"/>
      <c r="J68" s="91"/>
      <c r="K68" s="88"/>
      <c r="L68" s="90"/>
      <c r="M68" s="91">
        <f>sum(M63:M67)</f>
        <v>21.4275</v>
      </c>
      <c r="O68" s="92"/>
    </row>
    <row r="69" ht="14.25" customHeight="1">
      <c r="H69" s="79"/>
      <c r="I69" s="31"/>
      <c r="J69" s="36"/>
      <c r="L69" s="31"/>
      <c r="M69" s="36"/>
    </row>
    <row r="70" ht="14.25" customHeight="1">
      <c r="B70" s="2"/>
      <c r="C70" s="93" t="s">
        <v>252</v>
      </c>
      <c r="D70" s="93"/>
      <c r="E70" s="94"/>
      <c r="F70" s="94"/>
      <c r="G70" s="94"/>
      <c r="H70" s="95"/>
      <c r="I70" s="96"/>
      <c r="J70" s="97"/>
      <c r="K70" s="94"/>
      <c r="L70" s="96"/>
      <c r="M70" s="98">
        <v>49.99</v>
      </c>
    </row>
    <row r="71" ht="14.25" customHeight="1">
      <c r="B71" s="99"/>
      <c r="C71" s="100" t="s">
        <v>253</v>
      </c>
      <c r="D71" s="82"/>
      <c r="E71" s="82"/>
      <c r="F71" s="82"/>
      <c r="G71" s="82"/>
      <c r="H71" s="83"/>
      <c r="I71" s="84"/>
      <c r="J71" s="85"/>
      <c r="K71" s="82"/>
      <c r="L71" s="101"/>
      <c r="M71" s="102">
        <f>M70-M68</f>
        <v>28.5625</v>
      </c>
    </row>
    <row r="72" ht="14.25" customHeight="1">
      <c r="H72" s="79"/>
      <c r="I72" s="31"/>
      <c r="J72" s="36"/>
      <c r="L72" s="31"/>
      <c r="M72" s="36"/>
    </row>
    <row r="73" ht="14.25" customHeight="1">
      <c r="B73" s="1"/>
      <c r="C73" s="1" t="s">
        <v>254</v>
      </c>
      <c r="D73" s="1" t="s">
        <v>255</v>
      </c>
      <c r="H73" s="79"/>
      <c r="I73" s="31"/>
      <c r="J73" s="36"/>
      <c r="L73" s="31"/>
      <c r="M73" s="68">
        <v>-5.0</v>
      </c>
    </row>
    <row r="74" ht="14.25" customHeight="1">
      <c r="B74" s="1"/>
      <c r="C74" s="1" t="s">
        <v>256</v>
      </c>
      <c r="D74" s="1" t="s">
        <v>257</v>
      </c>
      <c r="H74" s="79"/>
      <c r="I74" s="31"/>
      <c r="J74" s="36"/>
      <c r="L74" s="31"/>
      <c r="M74" s="68">
        <v>-0.5</v>
      </c>
    </row>
    <row r="75" ht="14.25" customHeight="1">
      <c r="B75" s="1"/>
      <c r="C75" s="1" t="s">
        <v>258</v>
      </c>
      <c r="H75" s="79"/>
      <c r="I75" s="31"/>
      <c r="J75" s="36"/>
      <c r="L75" s="31"/>
      <c r="M75" s="68">
        <v>-1.1</v>
      </c>
    </row>
    <row r="76" ht="14.25" customHeight="1">
      <c r="B76" s="1"/>
      <c r="C76" s="1" t="s">
        <v>250</v>
      </c>
      <c r="H76" s="79"/>
      <c r="I76" s="31"/>
      <c r="J76" s="36"/>
      <c r="L76" s="31"/>
      <c r="M76" s="68">
        <v>-0.5</v>
      </c>
    </row>
    <row r="77" ht="14.25" customHeight="1">
      <c r="B77" s="1"/>
      <c r="C77" s="1" t="s">
        <v>259</v>
      </c>
      <c r="H77" s="79"/>
      <c r="I77" s="31"/>
      <c r="J77" s="36"/>
      <c r="L77" s="31"/>
      <c r="M77" s="68">
        <v>-1.1</v>
      </c>
    </row>
    <row r="78" ht="14.25" customHeight="1">
      <c r="B78" s="99"/>
      <c r="C78" s="103" t="s">
        <v>260</v>
      </c>
      <c r="D78" s="104"/>
      <c r="E78" s="104"/>
      <c r="F78" s="104"/>
      <c r="G78" s="104"/>
      <c r="H78" s="105"/>
      <c r="I78" s="106"/>
      <c r="J78" s="107"/>
      <c r="K78" s="104"/>
      <c r="L78" s="106"/>
      <c r="M78" s="107">
        <f>sum(M71:M77)</f>
        <v>20.3625</v>
      </c>
    </row>
    <row r="79" ht="14.25" customHeight="1">
      <c r="H79" s="79"/>
      <c r="I79" s="31"/>
      <c r="J79" s="36"/>
      <c r="L79" s="31"/>
      <c r="M79" s="36"/>
    </row>
    <row r="80" ht="14.25" customHeight="1">
      <c r="H80" s="79"/>
      <c r="I80" s="31"/>
      <c r="J80" s="36"/>
      <c r="L80" s="31"/>
      <c r="M80" s="36"/>
    </row>
    <row r="81" ht="14.25" customHeight="1">
      <c r="B81" s="108"/>
      <c r="C81" s="108" t="s">
        <v>261</v>
      </c>
      <c r="H81" s="79"/>
      <c r="I81" s="31"/>
      <c r="J81" s="36"/>
      <c r="L81" s="31"/>
      <c r="M81" s="36"/>
    </row>
    <row r="82" ht="14.25" customHeight="1">
      <c r="B82" s="1"/>
      <c r="C82" s="1" t="s">
        <v>262</v>
      </c>
      <c r="H82" s="79"/>
      <c r="I82" s="31"/>
      <c r="J82" s="36"/>
      <c r="L82" s="31"/>
      <c r="M82" s="68">
        <v>-1000.0</v>
      </c>
    </row>
    <row r="83" ht="14.25" customHeight="1">
      <c r="B83" s="1"/>
      <c r="C83" s="1" t="s">
        <v>263</v>
      </c>
      <c r="H83" s="79"/>
      <c r="I83" s="31"/>
      <c r="J83" s="36"/>
      <c r="L83" s="31"/>
      <c r="M83" s="68">
        <v>-10000.0</v>
      </c>
    </row>
    <row r="84" ht="14.25" customHeight="1">
      <c r="B84" s="1"/>
      <c r="C84" s="1" t="s">
        <v>264</v>
      </c>
      <c r="H84" s="79"/>
      <c r="I84" s="31"/>
      <c r="J84" s="36"/>
      <c r="L84" s="31"/>
      <c r="M84" s="68">
        <v>-1000.0</v>
      </c>
    </row>
    <row r="85" ht="14.25" customHeight="1">
      <c r="B85" s="1"/>
      <c r="C85" s="2" t="s">
        <v>265</v>
      </c>
      <c r="D85" s="109"/>
      <c r="E85" s="109"/>
      <c r="F85" s="109"/>
      <c r="G85" s="109"/>
      <c r="H85" s="110"/>
      <c r="I85" s="111"/>
      <c r="J85" s="112"/>
      <c r="K85" s="109"/>
      <c r="L85" s="111"/>
      <c r="M85" s="112">
        <f>sum(M82:M84)</f>
        <v>-12000</v>
      </c>
    </row>
    <row r="86" ht="14.25" customHeight="1">
      <c r="H86" s="79"/>
      <c r="I86" s="31"/>
      <c r="J86" s="36"/>
      <c r="L86" s="31"/>
      <c r="M86" s="36"/>
    </row>
    <row r="87" ht="14.25" customHeight="1">
      <c r="H87" s="79"/>
      <c r="I87" s="31"/>
      <c r="J87" s="36"/>
      <c r="L87" s="113" t="s">
        <v>9</v>
      </c>
      <c r="M87" s="114" t="s">
        <v>266</v>
      </c>
    </row>
    <row r="88" ht="14.25" customHeight="1">
      <c r="H88" s="79"/>
      <c r="I88" s="31"/>
      <c r="J88" s="36"/>
      <c r="K88" s="1"/>
      <c r="L88" s="115">
        <v>589.0</v>
      </c>
      <c r="M88" s="116">
        <f t="shared" ref="M88:M94" si="6">$M$78*L88+$M$85</f>
        <v>-6.4875</v>
      </c>
    </row>
    <row r="89" ht="14.25" customHeight="1">
      <c r="H89" s="79"/>
      <c r="I89" s="31"/>
      <c r="J89" s="36"/>
      <c r="L89" s="115">
        <v>1000.0</v>
      </c>
      <c r="M89" s="116">
        <f t="shared" si="6"/>
        <v>8362.5</v>
      </c>
      <c r="N89" s="1"/>
      <c r="O89" s="1"/>
    </row>
    <row r="90" ht="14.25" customHeight="1">
      <c r="H90" s="79"/>
      <c r="I90" s="31"/>
      <c r="J90" s="36"/>
      <c r="L90" s="115">
        <v>2000.0</v>
      </c>
      <c r="M90" s="116">
        <f t="shared" si="6"/>
        <v>28725</v>
      </c>
    </row>
    <row r="91" ht="14.25" customHeight="1">
      <c r="H91" s="79"/>
      <c r="I91" s="31"/>
      <c r="J91" s="36"/>
      <c r="L91" s="115">
        <v>5000.0</v>
      </c>
      <c r="M91" s="116">
        <f t="shared" si="6"/>
        <v>89812.5</v>
      </c>
    </row>
    <row r="92" ht="14.25" customHeight="1">
      <c r="H92" s="79"/>
      <c r="I92" s="31"/>
      <c r="J92" s="36"/>
      <c r="L92" s="115">
        <v>10000.0</v>
      </c>
      <c r="M92" s="116">
        <f t="shared" si="6"/>
        <v>191625</v>
      </c>
    </row>
    <row r="93" ht="14.25" customHeight="1">
      <c r="H93" s="79"/>
      <c r="I93" s="31"/>
      <c r="J93" s="36"/>
      <c r="L93" s="115">
        <v>20000.0</v>
      </c>
      <c r="M93" s="116">
        <f t="shared" si="6"/>
        <v>395250</v>
      </c>
    </row>
    <row r="94" ht="14.25" customHeight="1">
      <c r="H94" s="79"/>
      <c r="I94" s="31"/>
      <c r="J94" s="36"/>
      <c r="L94" s="117">
        <v>50773.0</v>
      </c>
      <c r="M94" s="118">
        <f t="shared" si="6"/>
        <v>1021865.213</v>
      </c>
    </row>
    <row r="95" ht="14.25" customHeight="1">
      <c r="H95" s="79"/>
      <c r="I95" s="31"/>
      <c r="J95" s="36"/>
      <c r="L95" s="31"/>
      <c r="M95" s="36"/>
    </row>
    <row r="96" ht="14.25" customHeight="1">
      <c r="H96" s="79"/>
      <c r="I96" s="31"/>
      <c r="J96" s="36"/>
      <c r="L96" s="31"/>
      <c r="M96" s="36"/>
    </row>
    <row r="97" ht="14.25" customHeight="1">
      <c r="H97" s="79"/>
      <c r="I97" s="31"/>
      <c r="J97" s="36"/>
      <c r="L97" s="31"/>
      <c r="M97" s="36"/>
    </row>
    <row r="98" ht="14.25" customHeight="1">
      <c r="H98" s="79"/>
      <c r="I98" s="31"/>
      <c r="J98" s="36"/>
      <c r="L98" s="31"/>
      <c r="M98" s="36"/>
    </row>
    <row r="99" ht="14.25" customHeight="1">
      <c r="H99" s="79"/>
      <c r="I99" s="31"/>
      <c r="J99" s="36"/>
      <c r="L99" s="31"/>
      <c r="M99" s="36"/>
    </row>
    <row r="100" ht="14.25" customHeight="1">
      <c r="H100" s="79"/>
      <c r="I100" s="31"/>
      <c r="J100" s="36"/>
      <c r="L100" s="31"/>
      <c r="M100" s="36"/>
    </row>
    <row r="101" ht="14.25" customHeight="1">
      <c r="H101" s="79"/>
      <c r="I101" s="31"/>
      <c r="J101" s="36"/>
      <c r="L101" s="31"/>
      <c r="M101" s="36"/>
    </row>
    <row r="102" ht="14.25" customHeight="1">
      <c r="H102" s="79"/>
      <c r="I102" s="31"/>
      <c r="J102" s="36"/>
      <c r="L102" s="31"/>
      <c r="M102" s="36"/>
    </row>
    <row r="103" ht="14.25" customHeight="1">
      <c r="H103" s="79"/>
      <c r="I103" s="31"/>
      <c r="J103" s="36"/>
      <c r="L103" s="31"/>
      <c r="M103" s="36"/>
    </row>
    <row r="104" ht="14.25" customHeight="1">
      <c r="H104" s="79"/>
      <c r="I104" s="31"/>
      <c r="J104" s="36"/>
      <c r="L104" s="31"/>
      <c r="M104" s="36"/>
    </row>
    <row r="105" ht="14.25" customHeight="1">
      <c r="H105" s="79"/>
      <c r="I105" s="31"/>
      <c r="J105" s="36"/>
      <c r="L105" s="31"/>
      <c r="M105" s="36"/>
    </row>
    <row r="106" ht="14.25" customHeight="1">
      <c r="H106" s="79"/>
      <c r="I106" s="31"/>
      <c r="J106" s="36"/>
      <c r="L106" s="31"/>
      <c r="M106" s="36"/>
    </row>
    <row r="107" ht="14.25" customHeight="1">
      <c r="H107" s="79"/>
      <c r="I107" s="31"/>
      <c r="J107" s="36"/>
      <c r="L107" s="31"/>
      <c r="M107" s="36"/>
    </row>
    <row r="108" ht="14.25" customHeight="1">
      <c r="H108" s="79"/>
      <c r="I108" s="31"/>
      <c r="J108" s="36"/>
      <c r="L108" s="31"/>
      <c r="M108" s="36"/>
    </row>
    <row r="109" ht="14.25" customHeight="1">
      <c r="H109" s="79"/>
      <c r="I109" s="31"/>
      <c r="J109" s="36"/>
      <c r="L109" s="31"/>
      <c r="M109" s="36"/>
    </row>
    <row r="110" ht="14.25" customHeight="1">
      <c r="H110" s="79"/>
      <c r="I110" s="31"/>
      <c r="J110" s="36"/>
      <c r="L110" s="31"/>
      <c r="M110" s="36"/>
    </row>
    <row r="111" ht="14.25" customHeight="1">
      <c r="H111" s="79"/>
      <c r="I111" s="31"/>
      <c r="J111" s="36"/>
      <c r="L111" s="31"/>
      <c r="M111" s="36"/>
    </row>
    <row r="112" ht="14.25" customHeight="1">
      <c r="H112" s="79"/>
      <c r="I112" s="31"/>
      <c r="J112" s="36"/>
      <c r="L112" s="31"/>
      <c r="M112" s="36"/>
    </row>
    <row r="113" ht="14.25" customHeight="1">
      <c r="H113" s="79"/>
      <c r="I113" s="31"/>
      <c r="J113" s="36"/>
      <c r="L113" s="31"/>
      <c r="M113" s="36"/>
    </row>
    <row r="114" ht="14.25" customHeight="1">
      <c r="H114" s="79"/>
      <c r="I114" s="31"/>
      <c r="J114" s="36"/>
      <c r="L114" s="31"/>
      <c r="M114" s="36"/>
    </row>
    <row r="115" ht="14.25" customHeight="1">
      <c r="H115" s="79"/>
      <c r="I115" s="31"/>
      <c r="J115" s="36"/>
      <c r="L115" s="31"/>
      <c r="M115" s="36"/>
    </row>
    <row r="116" ht="14.25" customHeight="1">
      <c r="H116" s="79"/>
      <c r="I116" s="31"/>
      <c r="J116" s="36"/>
      <c r="L116" s="31"/>
      <c r="M116" s="36"/>
    </row>
    <row r="117" ht="14.25" customHeight="1">
      <c r="H117" s="79"/>
      <c r="I117" s="31"/>
      <c r="J117" s="36"/>
      <c r="L117" s="31"/>
      <c r="M117" s="36"/>
    </row>
    <row r="118" ht="14.25" customHeight="1">
      <c r="H118" s="79"/>
      <c r="I118" s="31"/>
      <c r="J118" s="36"/>
      <c r="L118" s="31"/>
      <c r="M118" s="36"/>
    </row>
    <row r="119" ht="14.25" customHeight="1">
      <c r="H119" s="79"/>
      <c r="I119" s="31"/>
      <c r="J119" s="36"/>
      <c r="L119" s="31"/>
      <c r="M119" s="36"/>
    </row>
    <row r="120" ht="14.25" customHeight="1">
      <c r="H120" s="79"/>
      <c r="I120" s="31"/>
      <c r="J120" s="36"/>
      <c r="L120" s="31"/>
      <c r="M120" s="36"/>
    </row>
    <row r="121" ht="14.25" customHeight="1">
      <c r="H121" s="79"/>
      <c r="I121" s="31"/>
      <c r="J121" s="36"/>
      <c r="L121" s="31"/>
      <c r="M121" s="36"/>
    </row>
    <row r="122" ht="14.25" customHeight="1">
      <c r="H122" s="79"/>
      <c r="I122" s="31"/>
      <c r="J122" s="36"/>
      <c r="L122" s="31"/>
      <c r="M122" s="36"/>
    </row>
    <row r="123" ht="14.25" customHeight="1">
      <c r="H123" s="79"/>
      <c r="I123" s="31"/>
      <c r="J123" s="36"/>
      <c r="L123" s="31"/>
      <c r="M123" s="36"/>
    </row>
    <row r="124" ht="14.25" customHeight="1">
      <c r="H124" s="79"/>
      <c r="I124" s="31"/>
      <c r="J124" s="36"/>
      <c r="L124" s="31"/>
      <c r="M124" s="36"/>
    </row>
    <row r="125" ht="14.25" customHeight="1">
      <c r="H125" s="79"/>
      <c r="I125" s="31"/>
      <c r="J125" s="36"/>
      <c r="L125" s="31"/>
      <c r="M125" s="36"/>
    </row>
    <row r="126" ht="14.25" customHeight="1">
      <c r="H126" s="79"/>
      <c r="I126" s="31"/>
      <c r="J126" s="36"/>
      <c r="L126" s="31"/>
      <c r="M126" s="36"/>
    </row>
    <row r="127" ht="14.25" customHeight="1">
      <c r="H127" s="79"/>
      <c r="I127" s="31"/>
      <c r="J127" s="36"/>
      <c r="L127" s="31"/>
      <c r="M127" s="36"/>
    </row>
    <row r="128" ht="14.25" customHeight="1">
      <c r="H128" s="79"/>
      <c r="I128" s="31"/>
      <c r="J128" s="36"/>
      <c r="L128" s="31"/>
      <c r="M128" s="36"/>
    </row>
    <row r="129" ht="14.25" customHeight="1">
      <c r="H129" s="79"/>
      <c r="I129" s="31"/>
      <c r="J129" s="36"/>
      <c r="L129" s="31"/>
      <c r="M129" s="36"/>
    </row>
    <row r="130" ht="14.25" customHeight="1">
      <c r="H130" s="79"/>
      <c r="I130" s="31"/>
      <c r="J130" s="36"/>
      <c r="L130" s="31"/>
      <c r="M130" s="36"/>
    </row>
    <row r="131" ht="14.25" customHeight="1">
      <c r="H131" s="79"/>
      <c r="I131" s="31"/>
      <c r="J131" s="36"/>
      <c r="L131" s="31"/>
      <c r="M131" s="36"/>
    </row>
    <row r="132" ht="14.25" customHeight="1">
      <c r="H132" s="79"/>
      <c r="I132" s="31"/>
      <c r="J132" s="36"/>
      <c r="L132" s="31"/>
      <c r="M132" s="36"/>
    </row>
    <row r="133" ht="14.25" customHeight="1">
      <c r="H133" s="79"/>
      <c r="I133" s="31"/>
      <c r="J133" s="36"/>
      <c r="L133" s="31"/>
      <c r="M133" s="36"/>
    </row>
    <row r="134" ht="14.25" customHeight="1">
      <c r="H134" s="79"/>
      <c r="I134" s="31"/>
      <c r="J134" s="36"/>
      <c r="L134" s="31"/>
      <c r="M134" s="36"/>
    </row>
    <row r="135" ht="14.25" customHeight="1">
      <c r="H135" s="79"/>
      <c r="I135" s="31"/>
      <c r="J135" s="36"/>
      <c r="L135" s="31"/>
      <c r="M135" s="36"/>
    </row>
    <row r="136" ht="14.25" customHeight="1">
      <c r="H136" s="79"/>
      <c r="I136" s="31"/>
      <c r="J136" s="36"/>
      <c r="L136" s="31"/>
      <c r="M136" s="36"/>
    </row>
    <row r="137" ht="14.25" customHeight="1">
      <c r="H137" s="79"/>
      <c r="I137" s="31"/>
      <c r="J137" s="36"/>
      <c r="L137" s="31"/>
      <c r="M137" s="36"/>
    </row>
    <row r="138" ht="14.25" customHeight="1">
      <c r="H138" s="79"/>
      <c r="I138" s="31"/>
      <c r="J138" s="36"/>
      <c r="L138" s="31"/>
      <c r="M138" s="36"/>
    </row>
    <row r="139" ht="14.25" customHeight="1">
      <c r="H139" s="79"/>
      <c r="I139" s="31"/>
      <c r="J139" s="36"/>
      <c r="L139" s="31"/>
      <c r="M139" s="36"/>
    </row>
    <row r="140" ht="14.25" customHeight="1">
      <c r="H140" s="79"/>
      <c r="I140" s="31"/>
      <c r="J140" s="36"/>
      <c r="L140" s="31"/>
      <c r="M140" s="36"/>
    </row>
    <row r="141" ht="14.25" customHeight="1">
      <c r="H141" s="79"/>
      <c r="I141" s="31"/>
      <c r="J141" s="36"/>
      <c r="L141" s="31"/>
      <c r="M141" s="36"/>
    </row>
    <row r="142" ht="14.25" customHeight="1">
      <c r="H142" s="79"/>
      <c r="I142" s="31"/>
      <c r="J142" s="36"/>
      <c r="L142" s="31"/>
      <c r="M142" s="36"/>
    </row>
    <row r="143" ht="14.25" customHeight="1">
      <c r="H143" s="79"/>
      <c r="I143" s="31"/>
      <c r="J143" s="36"/>
      <c r="L143" s="31"/>
      <c r="M143" s="36"/>
    </row>
    <row r="144" ht="14.25" customHeight="1">
      <c r="H144" s="79"/>
      <c r="I144" s="31"/>
      <c r="J144" s="36"/>
      <c r="L144" s="31"/>
      <c r="M144" s="36"/>
    </row>
    <row r="145" ht="14.25" customHeight="1">
      <c r="H145" s="79"/>
      <c r="I145" s="31"/>
      <c r="J145" s="36"/>
      <c r="L145" s="31"/>
      <c r="M145" s="36"/>
    </row>
    <row r="146" ht="14.25" customHeight="1">
      <c r="H146" s="79"/>
      <c r="I146" s="31"/>
      <c r="J146" s="36"/>
      <c r="L146" s="31"/>
      <c r="M146" s="36"/>
    </row>
    <row r="147" ht="14.25" customHeight="1">
      <c r="H147" s="79"/>
      <c r="I147" s="31"/>
      <c r="J147" s="36"/>
      <c r="L147" s="31"/>
      <c r="M147" s="36"/>
    </row>
    <row r="148" ht="14.25" customHeight="1">
      <c r="H148" s="79"/>
      <c r="I148" s="31"/>
      <c r="J148" s="36"/>
      <c r="L148" s="31"/>
      <c r="M148" s="36"/>
    </row>
    <row r="149" ht="14.25" customHeight="1">
      <c r="H149" s="79"/>
      <c r="I149" s="31"/>
      <c r="J149" s="36"/>
      <c r="L149" s="31"/>
      <c r="M149" s="36"/>
    </row>
    <row r="150" ht="14.25" customHeight="1">
      <c r="H150" s="79"/>
      <c r="I150" s="31"/>
      <c r="J150" s="36"/>
      <c r="L150" s="31"/>
      <c r="M150" s="36"/>
    </row>
    <row r="151" ht="14.25" customHeight="1">
      <c r="H151" s="79"/>
      <c r="I151" s="31"/>
      <c r="J151" s="36"/>
      <c r="L151" s="31"/>
      <c r="M151" s="36"/>
    </row>
    <row r="152" ht="14.25" customHeight="1">
      <c r="H152" s="79"/>
      <c r="I152" s="31"/>
      <c r="J152" s="36"/>
      <c r="L152" s="31"/>
      <c r="M152" s="36"/>
    </row>
    <row r="153" ht="14.25" customHeight="1">
      <c r="H153" s="79"/>
      <c r="I153" s="31"/>
      <c r="J153" s="36"/>
      <c r="L153" s="31"/>
      <c r="M153" s="36"/>
    </row>
    <row r="154" ht="14.25" customHeight="1">
      <c r="H154" s="79"/>
      <c r="I154" s="31"/>
      <c r="J154" s="36"/>
      <c r="L154" s="31"/>
      <c r="M154" s="36"/>
    </row>
    <row r="155" ht="14.25" customHeight="1">
      <c r="H155" s="79"/>
      <c r="I155" s="31"/>
      <c r="J155" s="36"/>
      <c r="L155" s="31"/>
      <c r="M155" s="36"/>
    </row>
    <row r="156" ht="14.25" customHeight="1">
      <c r="H156" s="79"/>
      <c r="I156" s="31"/>
      <c r="J156" s="36"/>
      <c r="L156" s="31"/>
      <c r="M156" s="36"/>
    </row>
    <row r="157" ht="14.25" customHeight="1">
      <c r="H157" s="79"/>
      <c r="I157" s="31"/>
      <c r="J157" s="36"/>
      <c r="L157" s="31"/>
      <c r="M157" s="36"/>
    </row>
    <row r="158" ht="14.25" customHeight="1">
      <c r="H158" s="79"/>
      <c r="I158" s="31"/>
      <c r="J158" s="36"/>
      <c r="L158" s="31"/>
      <c r="M158" s="36"/>
    </row>
    <row r="159" ht="14.25" customHeight="1">
      <c r="H159" s="79"/>
      <c r="I159" s="31"/>
      <c r="J159" s="36"/>
      <c r="L159" s="31"/>
      <c r="M159" s="36"/>
    </row>
    <row r="160" ht="14.25" customHeight="1">
      <c r="H160" s="79"/>
      <c r="I160" s="31"/>
      <c r="J160" s="36"/>
      <c r="L160" s="31"/>
      <c r="M160" s="36"/>
    </row>
    <row r="161" ht="14.25" customHeight="1">
      <c r="H161" s="79"/>
      <c r="I161" s="31"/>
      <c r="J161" s="36"/>
      <c r="L161" s="31"/>
      <c r="M161" s="36"/>
    </row>
    <row r="162" ht="14.25" customHeight="1">
      <c r="H162" s="79"/>
      <c r="I162" s="31"/>
      <c r="J162" s="36"/>
      <c r="L162" s="31"/>
      <c r="M162" s="36"/>
    </row>
    <row r="163" ht="14.25" customHeight="1">
      <c r="H163" s="79"/>
      <c r="I163" s="31"/>
      <c r="J163" s="36"/>
      <c r="L163" s="31"/>
      <c r="M163" s="36"/>
    </row>
    <row r="164" ht="14.25" customHeight="1">
      <c r="H164" s="79"/>
      <c r="I164" s="31"/>
      <c r="J164" s="36"/>
      <c r="L164" s="31"/>
      <c r="M164" s="36"/>
    </row>
    <row r="165" ht="14.25" customHeight="1">
      <c r="H165" s="79"/>
      <c r="I165" s="31"/>
      <c r="J165" s="36"/>
      <c r="L165" s="31"/>
      <c r="M165" s="36"/>
    </row>
    <row r="166" ht="14.25" customHeight="1">
      <c r="H166" s="79"/>
      <c r="I166" s="31"/>
      <c r="J166" s="36"/>
      <c r="L166" s="31"/>
      <c r="M166" s="36"/>
    </row>
    <row r="167" ht="14.25" customHeight="1">
      <c r="H167" s="79"/>
      <c r="I167" s="31"/>
      <c r="J167" s="36"/>
      <c r="L167" s="31"/>
      <c r="M167" s="36"/>
    </row>
    <row r="168" ht="14.25" customHeight="1">
      <c r="H168" s="79"/>
      <c r="I168" s="31"/>
      <c r="J168" s="36"/>
      <c r="L168" s="31"/>
      <c r="M168" s="36"/>
    </row>
    <row r="169" ht="14.25" customHeight="1">
      <c r="H169" s="79"/>
      <c r="I169" s="31"/>
      <c r="J169" s="36"/>
      <c r="L169" s="31"/>
      <c r="M169" s="36"/>
    </row>
    <row r="170" ht="14.25" customHeight="1">
      <c r="H170" s="79"/>
      <c r="I170" s="31"/>
      <c r="J170" s="36"/>
      <c r="L170" s="31"/>
      <c r="M170" s="36"/>
    </row>
    <row r="171" ht="14.25" customHeight="1">
      <c r="H171" s="79"/>
      <c r="I171" s="31"/>
      <c r="J171" s="36"/>
      <c r="L171" s="31"/>
      <c r="M171" s="36"/>
    </row>
    <row r="172" ht="14.25" customHeight="1">
      <c r="H172" s="79"/>
      <c r="I172" s="31"/>
      <c r="J172" s="36"/>
      <c r="L172" s="31"/>
      <c r="M172" s="36"/>
    </row>
    <row r="173" ht="14.25" customHeight="1">
      <c r="H173" s="79"/>
      <c r="I173" s="31"/>
      <c r="J173" s="36"/>
      <c r="L173" s="31"/>
      <c r="M173" s="36"/>
    </row>
    <row r="174" ht="14.25" customHeight="1">
      <c r="H174" s="79"/>
      <c r="I174" s="31"/>
      <c r="J174" s="36"/>
      <c r="L174" s="31"/>
      <c r="M174" s="36"/>
    </row>
    <row r="175" ht="14.25" customHeight="1">
      <c r="H175" s="79"/>
      <c r="I175" s="31"/>
      <c r="J175" s="36"/>
      <c r="L175" s="31"/>
      <c r="M175" s="36"/>
    </row>
    <row r="176" ht="14.25" customHeight="1">
      <c r="H176" s="79"/>
      <c r="I176" s="31"/>
      <c r="J176" s="36"/>
      <c r="L176" s="31"/>
      <c r="M176" s="36"/>
    </row>
    <row r="177" ht="14.25" customHeight="1">
      <c r="H177" s="79"/>
      <c r="I177" s="31"/>
      <c r="J177" s="36"/>
      <c r="L177" s="31"/>
      <c r="M177" s="36"/>
    </row>
    <row r="178" ht="14.25" customHeight="1">
      <c r="H178" s="79"/>
      <c r="I178" s="31"/>
      <c r="J178" s="36"/>
      <c r="L178" s="31"/>
      <c r="M178" s="36"/>
    </row>
    <row r="179" ht="14.25" customHeight="1">
      <c r="H179" s="79"/>
      <c r="I179" s="31"/>
      <c r="J179" s="36"/>
      <c r="L179" s="31"/>
      <c r="M179" s="36"/>
    </row>
    <row r="180" ht="14.25" customHeight="1">
      <c r="H180" s="79"/>
      <c r="I180" s="31"/>
      <c r="J180" s="36"/>
      <c r="L180" s="31"/>
      <c r="M180" s="36"/>
    </row>
    <row r="181" ht="14.25" customHeight="1">
      <c r="H181" s="79"/>
      <c r="I181" s="31"/>
      <c r="J181" s="36"/>
      <c r="L181" s="31"/>
      <c r="M181" s="36"/>
    </row>
    <row r="182" ht="14.25" customHeight="1">
      <c r="H182" s="79"/>
      <c r="I182" s="31"/>
      <c r="J182" s="36"/>
      <c r="L182" s="31"/>
      <c r="M182" s="36"/>
    </row>
    <row r="183" ht="14.25" customHeight="1">
      <c r="H183" s="79"/>
      <c r="I183" s="31"/>
      <c r="J183" s="36"/>
      <c r="L183" s="31"/>
      <c r="M183" s="36"/>
    </row>
    <row r="184" ht="14.25" customHeight="1">
      <c r="H184" s="79"/>
      <c r="I184" s="31"/>
      <c r="J184" s="36"/>
      <c r="L184" s="31"/>
      <c r="M184" s="36"/>
    </row>
    <row r="185" ht="14.25" customHeight="1">
      <c r="H185" s="79"/>
      <c r="I185" s="31"/>
      <c r="J185" s="36"/>
      <c r="L185" s="31"/>
      <c r="M185" s="36"/>
    </row>
    <row r="186" ht="14.25" customHeight="1">
      <c r="H186" s="79"/>
      <c r="I186" s="31"/>
      <c r="J186" s="36"/>
      <c r="L186" s="31"/>
      <c r="M186" s="36"/>
    </row>
    <row r="187" ht="14.25" customHeight="1">
      <c r="H187" s="79"/>
      <c r="I187" s="31"/>
      <c r="J187" s="36"/>
      <c r="L187" s="31"/>
      <c r="M187" s="36"/>
    </row>
    <row r="188" ht="14.25" customHeight="1">
      <c r="H188" s="79"/>
      <c r="I188" s="31"/>
      <c r="J188" s="36"/>
      <c r="L188" s="31"/>
      <c r="M188" s="36"/>
    </row>
    <row r="189" ht="14.25" customHeight="1">
      <c r="H189" s="79"/>
      <c r="I189" s="31"/>
      <c r="J189" s="36"/>
      <c r="L189" s="31"/>
      <c r="M189" s="36"/>
    </row>
    <row r="190" ht="14.25" customHeight="1">
      <c r="H190" s="79"/>
      <c r="I190" s="31"/>
      <c r="J190" s="36"/>
      <c r="L190" s="31"/>
      <c r="M190" s="36"/>
    </row>
    <row r="191" ht="14.25" customHeight="1">
      <c r="H191" s="79"/>
      <c r="I191" s="31"/>
      <c r="J191" s="36"/>
      <c r="L191" s="31"/>
      <c r="M191" s="36"/>
    </row>
    <row r="192" ht="14.25" customHeight="1">
      <c r="H192" s="79"/>
      <c r="I192" s="31"/>
      <c r="J192" s="36"/>
      <c r="L192" s="31"/>
      <c r="M192" s="36"/>
    </row>
    <row r="193" ht="14.25" customHeight="1">
      <c r="H193" s="79"/>
      <c r="I193" s="31"/>
      <c r="J193" s="36"/>
      <c r="L193" s="31"/>
      <c r="M193" s="36"/>
    </row>
    <row r="194" ht="14.25" customHeight="1">
      <c r="H194" s="79"/>
      <c r="I194" s="31"/>
      <c r="J194" s="36"/>
      <c r="L194" s="31"/>
      <c r="M194" s="36"/>
    </row>
    <row r="195" ht="14.25" customHeight="1">
      <c r="H195" s="79"/>
      <c r="I195" s="31"/>
      <c r="J195" s="36"/>
      <c r="L195" s="31"/>
      <c r="M195" s="36"/>
    </row>
    <row r="196" ht="14.25" customHeight="1">
      <c r="H196" s="79"/>
      <c r="I196" s="31"/>
      <c r="J196" s="36"/>
      <c r="L196" s="31"/>
      <c r="M196" s="36"/>
    </row>
    <row r="197" ht="14.25" customHeight="1">
      <c r="H197" s="79"/>
      <c r="I197" s="31"/>
      <c r="J197" s="36"/>
      <c r="L197" s="31"/>
      <c r="M197" s="36"/>
    </row>
    <row r="198" ht="14.25" customHeight="1">
      <c r="H198" s="79"/>
      <c r="I198" s="31"/>
      <c r="J198" s="36"/>
      <c r="L198" s="31"/>
      <c r="M198" s="36"/>
    </row>
    <row r="199" ht="14.25" customHeight="1">
      <c r="H199" s="79"/>
      <c r="I199" s="31"/>
      <c r="J199" s="36"/>
      <c r="L199" s="31"/>
      <c r="M199" s="36"/>
    </row>
    <row r="200" ht="14.25" customHeight="1">
      <c r="H200" s="79"/>
      <c r="I200" s="31"/>
      <c r="J200" s="36"/>
      <c r="L200" s="31"/>
      <c r="M200" s="36"/>
    </row>
    <row r="201" ht="14.25" customHeight="1">
      <c r="H201" s="79"/>
      <c r="I201" s="31"/>
      <c r="J201" s="36"/>
      <c r="L201" s="31"/>
      <c r="M201" s="36"/>
    </row>
    <row r="202" ht="14.25" customHeight="1">
      <c r="H202" s="79"/>
      <c r="I202" s="31"/>
      <c r="J202" s="36"/>
      <c r="L202" s="31"/>
      <c r="M202" s="36"/>
    </row>
    <row r="203" ht="14.25" customHeight="1">
      <c r="H203" s="79"/>
      <c r="I203" s="31"/>
      <c r="J203" s="36"/>
      <c r="L203" s="31"/>
      <c r="M203" s="36"/>
    </row>
    <row r="204" ht="14.25" customHeight="1">
      <c r="H204" s="79"/>
      <c r="I204" s="31"/>
      <c r="J204" s="36"/>
      <c r="L204" s="31"/>
      <c r="M204" s="36"/>
    </row>
    <row r="205" ht="14.25" customHeight="1">
      <c r="H205" s="79"/>
      <c r="I205" s="31"/>
      <c r="J205" s="36"/>
      <c r="L205" s="31"/>
      <c r="M205" s="36"/>
    </row>
    <row r="206" ht="14.25" customHeight="1">
      <c r="H206" s="79"/>
      <c r="I206" s="31"/>
      <c r="J206" s="36"/>
      <c r="L206" s="31"/>
      <c r="M206" s="36"/>
    </row>
    <row r="207" ht="14.25" customHeight="1">
      <c r="H207" s="79"/>
      <c r="I207" s="31"/>
      <c r="J207" s="36"/>
      <c r="L207" s="31"/>
      <c r="M207" s="36"/>
    </row>
    <row r="208" ht="14.25" customHeight="1">
      <c r="H208" s="79"/>
      <c r="I208" s="31"/>
      <c r="J208" s="36"/>
      <c r="L208" s="31"/>
      <c r="M208" s="36"/>
    </row>
    <row r="209" ht="14.25" customHeight="1">
      <c r="H209" s="79"/>
      <c r="I209" s="31"/>
      <c r="J209" s="36"/>
      <c r="L209" s="31"/>
      <c r="M209" s="36"/>
    </row>
    <row r="210" ht="14.25" customHeight="1">
      <c r="H210" s="79"/>
      <c r="I210" s="31"/>
      <c r="J210" s="36"/>
      <c r="L210" s="31"/>
      <c r="M210" s="36"/>
    </row>
    <row r="211" ht="14.25" customHeight="1">
      <c r="H211" s="79"/>
      <c r="I211" s="31"/>
      <c r="J211" s="36"/>
      <c r="L211" s="31"/>
      <c r="M211" s="36"/>
    </row>
    <row r="212" ht="14.25" customHeight="1">
      <c r="H212" s="79"/>
      <c r="I212" s="31"/>
      <c r="J212" s="36"/>
      <c r="L212" s="31"/>
      <c r="M212" s="36"/>
    </row>
    <row r="213" ht="14.25" customHeight="1">
      <c r="H213" s="79"/>
      <c r="I213" s="31"/>
      <c r="J213" s="36"/>
      <c r="L213" s="31"/>
      <c r="M213" s="36"/>
    </row>
    <row r="214" ht="14.25" customHeight="1">
      <c r="H214" s="79"/>
      <c r="I214" s="31"/>
      <c r="J214" s="36"/>
      <c r="L214" s="31"/>
      <c r="M214" s="36"/>
    </row>
    <row r="215" ht="14.25" customHeight="1">
      <c r="H215" s="79"/>
      <c r="I215" s="31"/>
      <c r="J215" s="36"/>
      <c r="L215" s="31"/>
      <c r="M215" s="36"/>
    </row>
    <row r="216" ht="14.25" customHeight="1">
      <c r="H216" s="79"/>
      <c r="I216" s="31"/>
      <c r="J216" s="36"/>
      <c r="L216" s="31"/>
      <c r="M216" s="36"/>
    </row>
    <row r="217" ht="14.25" customHeight="1">
      <c r="H217" s="79"/>
      <c r="I217" s="31"/>
      <c r="J217" s="36"/>
      <c r="L217" s="31"/>
      <c r="M217" s="36"/>
    </row>
    <row r="218" ht="14.25" customHeight="1">
      <c r="H218" s="79"/>
      <c r="I218" s="31"/>
      <c r="J218" s="36"/>
      <c r="L218" s="31"/>
      <c r="M218" s="36"/>
    </row>
    <row r="219" ht="14.25" customHeight="1">
      <c r="H219" s="79"/>
      <c r="I219" s="31"/>
      <c r="J219" s="36"/>
      <c r="L219" s="31"/>
      <c r="M219" s="36"/>
    </row>
    <row r="220" ht="14.25" customHeight="1">
      <c r="H220" s="79"/>
      <c r="I220" s="31"/>
      <c r="J220" s="36"/>
      <c r="L220" s="31"/>
      <c r="M220" s="36"/>
    </row>
    <row r="221" ht="14.25" customHeight="1">
      <c r="H221" s="79"/>
      <c r="I221" s="31"/>
      <c r="J221" s="36"/>
      <c r="L221" s="31"/>
      <c r="M221" s="36"/>
    </row>
    <row r="222" ht="14.25" customHeight="1">
      <c r="H222" s="79"/>
      <c r="I222" s="31"/>
      <c r="J222" s="36"/>
      <c r="L222" s="31"/>
      <c r="M222" s="36"/>
    </row>
    <row r="223" ht="14.25" customHeight="1">
      <c r="H223" s="79"/>
      <c r="I223" s="31"/>
      <c r="J223" s="36"/>
      <c r="L223" s="31"/>
      <c r="M223" s="36"/>
    </row>
    <row r="224" ht="14.25" customHeight="1">
      <c r="H224" s="79"/>
      <c r="I224" s="31"/>
      <c r="J224" s="36"/>
      <c r="L224" s="31"/>
      <c r="M224" s="36"/>
    </row>
    <row r="225" ht="14.25" customHeight="1">
      <c r="H225" s="79"/>
      <c r="I225" s="31"/>
      <c r="J225" s="36"/>
      <c r="L225" s="31"/>
      <c r="M225" s="36"/>
    </row>
    <row r="226" ht="14.25" customHeight="1">
      <c r="H226" s="79"/>
      <c r="I226" s="31"/>
      <c r="J226" s="36"/>
      <c r="L226" s="31"/>
      <c r="M226" s="36"/>
    </row>
    <row r="227" ht="14.25" customHeight="1">
      <c r="H227" s="79"/>
      <c r="I227" s="31"/>
      <c r="J227" s="36"/>
      <c r="L227" s="31"/>
      <c r="M227" s="36"/>
    </row>
    <row r="228" ht="14.25" customHeight="1">
      <c r="H228" s="79"/>
      <c r="I228" s="31"/>
      <c r="J228" s="36"/>
      <c r="L228" s="31"/>
      <c r="M228" s="36"/>
    </row>
    <row r="229" ht="14.25" customHeight="1">
      <c r="H229" s="79"/>
      <c r="I229" s="31"/>
      <c r="J229" s="36"/>
      <c r="L229" s="31"/>
      <c r="M229" s="36"/>
    </row>
    <row r="230" ht="14.25" customHeight="1">
      <c r="H230" s="79"/>
      <c r="I230" s="31"/>
      <c r="J230" s="36"/>
      <c r="L230" s="31"/>
      <c r="M230" s="36"/>
    </row>
    <row r="231" ht="14.25" customHeight="1">
      <c r="H231" s="79"/>
      <c r="I231" s="31"/>
      <c r="J231" s="36"/>
      <c r="L231" s="31"/>
      <c r="M231" s="36"/>
    </row>
    <row r="232" ht="14.25" customHeight="1">
      <c r="H232" s="79"/>
      <c r="I232" s="31"/>
      <c r="J232" s="36"/>
      <c r="L232" s="31"/>
      <c r="M232" s="36"/>
    </row>
    <row r="233" ht="14.25" customHeight="1">
      <c r="H233" s="79"/>
      <c r="I233" s="31"/>
      <c r="J233" s="36"/>
      <c r="L233" s="31"/>
      <c r="M233" s="36"/>
    </row>
    <row r="234" ht="14.25" customHeight="1">
      <c r="H234" s="79"/>
      <c r="I234" s="31"/>
      <c r="J234" s="36"/>
      <c r="L234" s="31"/>
      <c r="M234" s="36"/>
    </row>
    <row r="235" ht="14.25" customHeight="1">
      <c r="H235" s="79"/>
      <c r="I235" s="31"/>
      <c r="J235" s="36"/>
      <c r="L235" s="31"/>
      <c r="M235" s="36"/>
    </row>
    <row r="236" ht="14.25" customHeight="1">
      <c r="H236" s="79"/>
      <c r="I236" s="31"/>
      <c r="J236" s="36"/>
      <c r="L236" s="31"/>
      <c r="M236" s="36"/>
    </row>
    <row r="237" ht="14.25" customHeight="1">
      <c r="H237" s="79"/>
      <c r="I237" s="31"/>
      <c r="J237" s="36"/>
      <c r="L237" s="31"/>
      <c r="M237" s="36"/>
    </row>
    <row r="238" ht="14.25" customHeight="1">
      <c r="H238" s="79"/>
      <c r="I238" s="31"/>
      <c r="J238" s="36"/>
      <c r="L238" s="31"/>
      <c r="M238" s="36"/>
    </row>
    <row r="239" ht="14.25" customHeight="1">
      <c r="H239" s="79"/>
      <c r="I239" s="31"/>
      <c r="J239" s="36"/>
      <c r="L239" s="31"/>
      <c r="M239" s="36"/>
    </row>
    <row r="240" ht="14.25" customHeight="1">
      <c r="H240" s="79"/>
      <c r="I240" s="31"/>
      <c r="J240" s="36"/>
      <c r="L240" s="31"/>
      <c r="M240" s="36"/>
    </row>
    <row r="241" ht="14.25" customHeight="1">
      <c r="H241" s="79"/>
      <c r="I241" s="31"/>
      <c r="J241" s="36"/>
      <c r="L241" s="31"/>
      <c r="M241" s="36"/>
    </row>
    <row r="242" ht="14.25" customHeight="1">
      <c r="H242" s="79"/>
      <c r="I242" s="31"/>
      <c r="J242" s="36"/>
      <c r="L242" s="31"/>
      <c r="M242" s="36"/>
    </row>
    <row r="243" ht="14.25" customHeight="1">
      <c r="H243" s="79"/>
      <c r="I243" s="31"/>
      <c r="J243" s="36"/>
      <c r="L243" s="31"/>
      <c r="M243" s="36"/>
    </row>
    <row r="244" ht="14.25" customHeight="1">
      <c r="H244" s="79"/>
      <c r="I244" s="31"/>
      <c r="J244" s="36"/>
      <c r="L244" s="31"/>
      <c r="M244" s="36"/>
    </row>
    <row r="245" ht="14.25" customHeight="1">
      <c r="H245" s="79"/>
      <c r="I245" s="31"/>
      <c r="J245" s="36"/>
      <c r="L245" s="31"/>
      <c r="M245" s="36"/>
    </row>
    <row r="246" ht="14.25" customHeight="1">
      <c r="H246" s="79"/>
      <c r="I246" s="31"/>
      <c r="J246" s="36"/>
      <c r="L246" s="31"/>
      <c r="M246" s="36"/>
    </row>
    <row r="247" ht="14.25" customHeight="1">
      <c r="H247" s="79"/>
      <c r="I247" s="31"/>
      <c r="J247" s="36"/>
      <c r="L247" s="31"/>
      <c r="M247" s="36"/>
    </row>
    <row r="248" ht="14.25" customHeight="1">
      <c r="H248" s="79"/>
      <c r="I248" s="31"/>
      <c r="J248" s="36"/>
      <c r="L248" s="31"/>
      <c r="M248" s="36"/>
    </row>
    <row r="249" ht="14.25" customHeight="1">
      <c r="H249" s="79"/>
      <c r="I249" s="31"/>
      <c r="J249" s="36"/>
      <c r="L249" s="31"/>
      <c r="M249" s="36"/>
    </row>
    <row r="250" ht="14.25" customHeight="1">
      <c r="H250" s="79"/>
      <c r="I250" s="31"/>
      <c r="J250" s="36"/>
      <c r="L250" s="31"/>
      <c r="M250" s="36"/>
    </row>
    <row r="251" ht="14.25" customHeight="1">
      <c r="H251" s="79"/>
      <c r="I251" s="31"/>
      <c r="J251" s="36"/>
      <c r="L251" s="31"/>
      <c r="M251" s="36"/>
    </row>
    <row r="252" ht="14.25" customHeight="1">
      <c r="H252" s="79"/>
      <c r="I252" s="31"/>
      <c r="J252" s="36"/>
      <c r="L252" s="31"/>
      <c r="M252" s="36"/>
    </row>
    <row r="253" ht="14.25" customHeight="1">
      <c r="H253" s="79"/>
      <c r="I253" s="31"/>
      <c r="J253" s="36"/>
      <c r="L253" s="31"/>
      <c r="M253" s="36"/>
    </row>
    <row r="254" ht="14.25" customHeight="1">
      <c r="H254" s="79"/>
      <c r="I254" s="31"/>
      <c r="J254" s="36"/>
      <c r="L254" s="31"/>
      <c r="M254" s="36"/>
    </row>
    <row r="255" ht="14.25" customHeight="1">
      <c r="H255" s="79"/>
      <c r="I255" s="31"/>
      <c r="J255" s="36"/>
      <c r="L255" s="31"/>
      <c r="M255" s="36"/>
    </row>
    <row r="256" ht="14.25" customHeight="1">
      <c r="H256" s="79"/>
      <c r="I256" s="31"/>
      <c r="J256" s="36"/>
      <c r="L256" s="31"/>
      <c r="M256" s="36"/>
    </row>
    <row r="257" ht="14.25" customHeight="1">
      <c r="H257" s="79"/>
      <c r="I257" s="31"/>
      <c r="J257" s="36"/>
      <c r="L257" s="31"/>
      <c r="M257" s="36"/>
    </row>
    <row r="258" ht="14.25" customHeight="1">
      <c r="H258" s="79"/>
      <c r="I258" s="31"/>
      <c r="J258" s="36"/>
      <c r="L258" s="31"/>
      <c r="M258" s="36"/>
    </row>
    <row r="259" ht="14.25" customHeight="1">
      <c r="H259" s="79"/>
      <c r="I259" s="31"/>
      <c r="J259" s="36"/>
      <c r="L259" s="31"/>
      <c r="M259" s="36"/>
    </row>
    <row r="260" ht="14.25" customHeight="1">
      <c r="H260" s="79"/>
      <c r="I260" s="31"/>
      <c r="J260" s="36"/>
      <c r="L260" s="31"/>
      <c r="M260" s="36"/>
    </row>
    <row r="261" ht="14.25" customHeight="1">
      <c r="H261" s="79"/>
      <c r="I261" s="31"/>
      <c r="J261" s="36"/>
      <c r="L261" s="31"/>
      <c r="M261" s="36"/>
    </row>
    <row r="262" ht="14.25" customHeight="1">
      <c r="H262" s="79"/>
      <c r="I262" s="31"/>
      <c r="J262" s="36"/>
      <c r="L262" s="31"/>
      <c r="M262" s="36"/>
    </row>
    <row r="263" ht="14.25" customHeight="1">
      <c r="H263" s="79"/>
      <c r="I263" s="31"/>
      <c r="J263" s="36"/>
      <c r="L263" s="31"/>
      <c r="M263" s="36"/>
    </row>
    <row r="264" ht="14.25" customHeight="1">
      <c r="H264" s="79"/>
      <c r="I264" s="31"/>
      <c r="J264" s="36"/>
      <c r="L264" s="31"/>
      <c r="M264" s="36"/>
    </row>
    <row r="265" ht="14.25" customHeight="1">
      <c r="H265" s="79"/>
      <c r="I265" s="31"/>
      <c r="J265" s="36"/>
      <c r="L265" s="31"/>
      <c r="M265" s="36"/>
    </row>
    <row r="266" ht="14.25" customHeight="1">
      <c r="H266" s="79"/>
      <c r="I266" s="31"/>
      <c r="J266" s="36"/>
      <c r="L266" s="31"/>
      <c r="M266" s="36"/>
    </row>
    <row r="267" ht="14.25" customHeight="1">
      <c r="H267" s="79"/>
      <c r="I267" s="31"/>
      <c r="J267" s="36"/>
      <c r="L267" s="31"/>
      <c r="M267" s="36"/>
    </row>
    <row r="268" ht="14.25" customHeight="1">
      <c r="H268" s="79"/>
      <c r="I268" s="31"/>
      <c r="J268" s="36"/>
      <c r="L268" s="31"/>
      <c r="M268" s="36"/>
    </row>
    <row r="269" ht="14.25" customHeight="1">
      <c r="H269" s="79"/>
      <c r="I269" s="31"/>
      <c r="J269" s="36"/>
      <c r="L269" s="31"/>
      <c r="M269" s="36"/>
    </row>
    <row r="270" ht="14.25" customHeight="1">
      <c r="H270" s="79"/>
      <c r="I270" s="31"/>
      <c r="J270" s="36"/>
      <c r="L270" s="31"/>
      <c r="M270" s="36"/>
    </row>
    <row r="271" ht="14.25" customHeight="1">
      <c r="H271" s="79"/>
      <c r="I271" s="31"/>
      <c r="J271" s="36"/>
      <c r="L271" s="31"/>
      <c r="M271" s="36"/>
    </row>
    <row r="272" ht="14.25" customHeight="1">
      <c r="H272" s="79"/>
      <c r="I272" s="31"/>
      <c r="J272" s="36"/>
      <c r="L272" s="31"/>
      <c r="M272" s="36"/>
    </row>
    <row r="273" ht="14.25" customHeight="1">
      <c r="H273" s="79"/>
      <c r="I273" s="31"/>
      <c r="J273" s="36"/>
      <c r="L273" s="31"/>
      <c r="M273" s="36"/>
    </row>
    <row r="274" ht="14.25" customHeight="1">
      <c r="H274" s="79"/>
      <c r="I274" s="31"/>
      <c r="J274" s="36"/>
      <c r="L274" s="31"/>
      <c r="M274" s="36"/>
    </row>
    <row r="275" ht="14.25" customHeight="1">
      <c r="H275" s="79"/>
      <c r="I275" s="31"/>
      <c r="J275" s="36"/>
      <c r="L275" s="31"/>
      <c r="M275" s="36"/>
    </row>
    <row r="276" ht="14.25" customHeight="1">
      <c r="H276" s="79"/>
      <c r="I276" s="31"/>
      <c r="J276" s="36"/>
      <c r="L276" s="31"/>
      <c r="M276" s="36"/>
    </row>
    <row r="277" ht="14.25" customHeight="1">
      <c r="H277" s="79"/>
      <c r="I277" s="31"/>
      <c r="J277" s="36"/>
      <c r="L277" s="31"/>
      <c r="M277" s="36"/>
    </row>
    <row r="278" ht="14.25" customHeight="1">
      <c r="H278" s="79"/>
      <c r="I278" s="31"/>
      <c r="J278" s="36"/>
      <c r="L278" s="31"/>
      <c r="M278" s="36"/>
    </row>
    <row r="279" ht="14.25" customHeight="1">
      <c r="H279" s="79"/>
      <c r="I279" s="31"/>
      <c r="J279" s="36"/>
      <c r="L279" s="31"/>
      <c r="M279" s="36"/>
    </row>
    <row r="280" ht="14.25" customHeight="1">
      <c r="H280" s="79"/>
      <c r="I280" s="31"/>
      <c r="J280" s="36"/>
      <c r="L280" s="31"/>
      <c r="M280" s="36"/>
    </row>
    <row r="281" ht="14.25" customHeight="1">
      <c r="H281" s="79"/>
      <c r="I281" s="31"/>
      <c r="J281" s="36"/>
      <c r="L281" s="31"/>
      <c r="M281" s="36"/>
    </row>
    <row r="282" ht="14.25" customHeight="1">
      <c r="H282" s="79"/>
      <c r="I282" s="31"/>
      <c r="J282" s="36"/>
      <c r="L282" s="31"/>
      <c r="M282" s="36"/>
    </row>
    <row r="283" ht="14.25" customHeight="1">
      <c r="H283" s="79"/>
      <c r="I283" s="31"/>
      <c r="J283" s="36"/>
      <c r="L283" s="31"/>
      <c r="M283" s="36"/>
    </row>
    <row r="284" ht="14.25" customHeight="1">
      <c r="H284" s="79"/>
      <c r="I284" s="31"/>
      <c r="J284" s="36"/>
      <c r="L284" s="31"/>
      <c r="M284" s="36"/>
    </row>
    <row r="285" ht="14.25" customHeight="1">
      <c r="H285" s="79"/>
      <c r="I285" s="31"/>
      <c r="J285" s="36"/>
      <c r="L285" s="31"/>
      <c r="M285" s="36"/>
    </row>
    <row r="286" ht="14.25" customHeight="1">
      <c r="H286" s="79"/>
      <c r="I286" s="31"/>
      <c r="J286" s="36"/>
      <c r="L286" s="31"/>
      <c r="M286" s="36"/>
    </row>
    <row r="287" ht="14.25" customHeight="1">
      <c r="H287" s="79"/>
      <c r="I287" s="31"/>
      <c r="J287" s="36"/>
      <c r="L287" s="31"/>
      <c r="M287" s="36"/>
    </row>
    <row r="288" ht="14.25" customHeight="1">
      <c r="H288" s="79"/>
      <c r="I288" s="31"/>
      <c r="J288" s="36"/>
      <c r="L288" s="31"/>
      <c r="M288" s="36"/>
    </row>
    <row r="289" ht="14.25" customHeight="1">
      <c r="H289" s="79"/>
      <c r="I289" s="31"/>
      <c r="J289" s="36"/>
      <c r="L289" s="31"/>
      <c r="M289" s="36"/>
    </row>
    <row r="290" ht="14.25" customHeight="1">
      <c r="H290" s="79"/>
      <c r="I290" s="31"/>
      <c r="J290" s="36"/>
      <c r="L290" s="31"/>
      <c r="M290" s="36"/>
    </row>
    <row r="291" ht="14.25" customHeight="1">
      <c r="H291" s="79"/>
      <c r="I291" s="31"/>
      <c r="J291" s="36"/>
      <c r="L291" s="31"/>
      <c r="M291" s="36"/>
    </row>
    <row r="292" ht="14.25" customHeight="1">
      <c r="H292" s="79"/>
      <c r="I292" s="31"/>
      <c r="J292" s="36"/>
      <c r="L292" s="31"/>
      <c r="M292" s="36"/>
    </row>
    <row r="293" ht="14.25" customHeight="1">
      <c r="H293" s="79"/>
      <c r="I293" s="31"/>
      <c r="J293" s="36"/>
      <c r="L293" s="31"/>
      <c r="M293" s="36"/>
    </row>
    <row r="294" ht="14.25" customHeight="1">
      <c r="H294" s="79"/>
      <c r="I294" s="31"/>
      <c r="J294" s="36"/>
      <c r="L294" s="31"/>
      <c r="M294" s="36"/>
    </row>
    <row r="295" ht="14.25" customHeight="1">
      <c r="H295" s="79"/>
      <c r="I295" s="31"/>
      <c r="J295" s="36"/>
      <c r="L295" s="31"/>
      <c r="M295" s="36"/>
    </row>
    <row r="296" ht="14.25" customHeight="1">
      <c r="H296" s="79"/>
      <c r="I296" s="31"/>
      <c r="J296" s="36"/>
      <c r="L296" s="31"/>
      <c r="M296" s="36"/>
    </row>
    <row r="297" ht="14.25" customHeight="1">
      <c r="H297" s="79"/>
      <c r="I297" s="31"/>
      <c r="J297" s="36"/>
      <c r="L297" s="31"/>
      <c r="M297" s="36"/>
    </row>
    <row r="298" ht="14.25" customHeight="1">
      <c r="H298" s="79"/>
      <c r="I298" s="31"/>
      <c r="J298" s="36"/>
      <c r="L298" s="31"/>
      <c r="M298" s="36"/>
    </row>
    <row r="299" ht="14.25" customHeight="1">
      <c r="H299" s="79"/>
      <c r="I299" s="31"/>
      <c r="J299" s="36"/>
      <c r="L299" s="31"/>
      <c r="M299" s="36"/>
    </row>
    <row r="300" ht="14.25" customHeight="1">
      <c r="H300" s="79"/>
      <c r="I300" s="31"/>
      <c r="J300" s="36"/>
      <c r="L300" s="31"/>
      <c r="M300" s="36"/>
    </row>
    <row r="301" ht="14.25" customHeight="1">
      <c r="H301" s="79"/>
      <c r="I301" s="31"/>
      <c r="J301" s="36"/>
      <c r="L301" s="31"/>
      <c r="M301" s="36"/>
    </row>
    <row r="302" ht="14.25" customHeight="1">
      <c r="H302" s="79"/>
      <c r="I302" s="31"/>
      <c r="J302" s="36"/>
      <c r="L302" s="31"/>
      <c r="M302" s="36"/>
    </row>
    <row r="303" ht="14.25" customHeight="1">
      <c r="H303" s="79"/>
      <c r="I303" s="31"/>
      <c r="J303" s="36"/>
      <c r="L303" s="31"/>
      <c r="M303" s="36"/>
    </row>
    <row r="304" ht="14.25" customHeight="1">
      <c r="H304" s="79"/>
      <c r="I304" s="31"/>
      <c r="J304" s="36"/>
      <c r="L304" s="31"/>
      <c r="M304" s="36"/>
    </row>
    <row r="305" ht="14.25" customHeight="1">
      <c r="H305" s="79"/>
      <c r="I305" s="31"/>
      <c r="J305" s="36"/>
      <c r="L305" s="31"/>
      <c r="M305" s="36"/>
    </row>
    <row r="306" ht="14.25" customHeight="1">
      <c r="H306" s="79"/>
      <c r="I306" s="31"/>
      <c r="J306" s="36"/>
      <c r="L306" s="31"/>
      <c r="M306" s="36"/>
    </row>
    <row r="307" ht="14.25" customHeight="1">
      <c r="H307" s="79"/>
      <c r="I307" s="31"/>
      <c r="J307" s="36"/>
      <c r="L307" s="31"/>
      <c r="M307" s="36"/>
    </row>
    <row r="308" ht="14.25" customHeight="1">
      <c r="H308" s="79"/>
      <c r="I308" s="31"/>
      <c r="J308" s="36"/>
      <c r="L308" s="31"/>
      <c r="M308" s="36"/>
    </row>
    <row r="309" ht="14.25" customHeight="1">
      <c r="H309" s="79"/>
      <c r="I309" s="31"/>
      <c r="J309" s="36"/>
      <c r="L309" s="31"/>
      <c r="M309" s="36"/>
    </row>
    <row r="310" ht="14.25" customHeight="1">
      <c r="H310" s="79"/>
      <c r="I310" s="31"/>
      <c r="J310" s="36"/>
      <c r="L310" s="31"/>
      <c r="M310" s="36"/>
    </row>
    <row r="311" ht="14.25" customHeight="1">
      <c r="H311" s="79"/>
      <c r="I311" s="31"/>
      <c r="J311" s="36"/>
      <c r="L311" s="31"/>
      <c r="M311" s="36"/>
    </row>
    <row r="312" ht="14.25" customHeight="1">
      <c r="H312" s="79"/>
      <c r="I312" s="31"/>
      <c r="J312" s="36"/>
      <c r="L312" s="31"/>
      <c r="M312" s="36"/>
    </row>
    <row r="313" ht="14.25" customHeight="1">
      <c r="H313" s="79"/>
      <c r="I313" s="31"/>
      <c r="J313" s="36"/>
      <c r="L313" s="31"/>
      <c r="M313" s="36"/>
    </row>
    <row r="314" ht="14.25" customHeight="1">
      <c r="H314" s="79"/>
      <c r="I314" s="31"/>
      <c r="J314" s="36"/>
      <c r="L314" s="31"/>
      <c r="M314" s="36"/>
    </row>
    <row r="315" ht="14.25" customHeight="1">
      <c r="H315" s="79"/>
      <c r="I315" s="31"/>
      <c r="J315" s="36"/>
      <c r="L315" s="31"/>
      <c r="M315" s="36"/>
    </row>
    <row r="316" ht="14.25" customHeight="1">
      <c r="H316" s="79"/>
      <c r="I316" s="31"/>
      <c r="J316" s="36"/>
      <c r="L316" s="31"/>
      <c r="M316" s="36"/>
    </row>
    <row r="317" ht="14.25" customHeight="1">
      <c r="H317" s="79"/>
      <c r="I317" s="31"/>
      <c r="J317" s="36"/>
      <c r="L317" s="31"/>
      <c r="M317" s="36"/>
    </row>
    <row r="318" ht="14.25" customHeight="1">
      <c r="H318" s="79"/>
      <c r="I318" s="31"/>
      <c r="J318" s="36"/>
      <c r="L318" s="31"/>
      <c r="M318" s="36"/>
    </row>
    <row r="319" ht="14.25" customHeight="1">
      <c r="H319" s="79"/>
      <c r="I319" s="31"/>
      <c r="J319" s="36"/>
      <c r="L319" s="31"/>
      <c r="M319" s="36"/>
    </row>
    <row r="320" ht="14.25" customHeight="1">
      <c r="H320" s="79"/>
      <c r="I320" s="31"/>
      <c r="J320" s="36"/>
      <c r="L320" s="31"/>
      <c r="M320" s="36"/>
    </row>
    <row r="321" ht="14.25" customHeight="1">
      <c r="H321" s="79"/>
      <c r="I321" s="31"/>
      <c r="J321" s="36"/>
      <c r="L321" s="31"/>
      <c r="M321" s="36"/>
    </row>
    <row r="322" ht="14.25" customHeight="1">
      <c r="H322" s="79"/>
      <c r="I322" s="31"/>
      <c r="J322" s="36"/>
      <c r="L322" s="31"/>
      <c r="M322" s="36"/>
    </row>
    <row r="323" ht="14.25" customHeight="1">
      <c r="H323" s="79"/>
      <c r="I323" s="31"/>
      <c r="J323" s="36"/>
      <c r="L323" s="31"/>
      <c r="M323" s="36"/>
    </row>
    <row r="324" ht="14.25" customHeight="1">
      <c r="H324" s="79"/>
      <c r="I324" s="31"/>
      <c r="J324" s="36"/>
      <c r="L324" s="31"/>
      <c r="M324" s="36"/>
    </row>
    <row r="325" ht="14.25" customHeight="1">
      <c r="H325" s="79"/>
      <c r="I325" s="31"/>
      <c r="J325" s="36"/>
      <c r="L325" s="31"/>
      <c r="M325" s="36"/>
    </row>
    <row r="326" ht="14.25" customHeight="1">
      <c r="H326" s="79"/>
      <c r="I326" s="31"/>
      <c r="J326" s="36"/>
      <c r="L326" s="31"/>
      <c r="M326" s="36"/>
    </row>
    <row r="327" ht="14.25" customHeight="1">
      <c r="H327" s="79"/>
      <c r="I327" s="31"/>
      <c r="J327" s="36"/>
      <c r="L327" s="31"/>
      <c r="M327" s="36"/>
    </row>
    <row r="328" ht="14.25" customHeight="1">
      <c r="H328" s="79"/>
      <c r="I328" s="31"/>
      <c r="J328" s="36"/>
      <c r="L328" s="31"/>
      <c r="M328" s="36"/>
    </row>
    <row r="329" ht="14.25" customHeight="1">
      <c r="H329" s="79"/>
      <c r="I329" s="31"/>
      <c r="J329" s="36"/>
      <c r="L329" s="31"/>
      <c r="M329" s="36"/>
    </row>
    <row r="330" ht="14.25" customHeight="1">
      <c r="H330" s="79"/>
      <c r="I330" s="31"/>
      <c r="J330" s="36"/>
      <c r="L330" s="31"/>
      <c r="M330" s="36"/>
    </row>
    <row r="331" ht="14.25" customHeight="1">
      <c r="H331" s="79"/>
      <c r="I331" s="31"/>
      <c r="J331" s="36"/>
      <c r="L331" s="31"/>
      <c r="M331" s="36"/>
    </row>
    <row r="332" ht="14.25" customHeight="1">
      <c r="H332" s="79"/>
      <c r="I332" s="31"/>
      <c r="J332" s="36"/>
      <c r="L332" s="31"/>
      <c r="M332" s="36"/>
    </row>
    <row r="333" ht="14.25" customHeight="1">
      <c r="H333" s="79"/>
      <c r="I333" s="31"/>
      <c r="J333" s="36"/>
      <c r="L333" s="31"/>
      <c r="M333" s="36"/>
    </row>
    <row r="334" ht="14.25" customHeight="1">
      <c r="H334" s="79"/>
      <c r="I334" s="31"/>
      <c r="J334" s="36"/>
      <c r="L334" s="31"/>
      <c r="M334" s="36"/>
    </row>
    <row r="335" ht="14.25" customHeight="1">
      <c r="H335" s="79"/>
      <c r="I335" s="31"/>
      <c r="J335" s="36"/>
      <c r="L335" s="31"/>
      <c r="M335" s="36"/>
    </row>
    <row r="336" ht="14.25" customHeight="1">
      <c r="H336" s="79"/>
      <c r="I336" s="31"/>
      <c r="J336" s="36"/>
      <c r="L336" s="31"/>
      <c r="M336" s="36"/>
    </row>
    <row r="337" ht="14.25" customHeight="1">
      <c r="H337" s="79"/>
      <c r="I337" s="31"/>
      <c r="J337" s="36"/>
      <c r="L337" s="31"/>
      <c r="M337" s="36"/>
    </row>
    <row r="338" ht="14.25" customHeight="1">
      <c r="H338" s="79"/>
      <c r="I338" s="31"/>
      <c r="J338" s="36"/>
      <c r="L338" s="31"/>
      <c r="M338" s="36"/>
    </row>
    <row r="339" ht="14.25" customHeight="1">
      <c r="H339" s="79"/>
      <c r="I339" s="31"/>
      <c r="J339" s="36"/>
      <c r="L339" s="31"/>
      <c r="M339" s="36"/>
    </row>
    <row r="340" ht="14.25" customHeight="1">
      <c r="H340" s="79"/>
      <c r="I340" s="31"/>
      <c r="J340" s="36"/>
      <c r="L340" s="31"/>
      <c r="M340" s="36"/>
    </row>
    <row r="341" ht="14.25" customHeight="1">
      <c r="H341" s="79"/>
      <c r="I341" s="31"/>
      <c r="J341" s="36"/>
      <c r="L341" s="31"/>
      <c r="M341" s="36"/>
    </row>
    <row r="342" ht="14.25" customHeight="1">
      <c r="H342" s="79"/>
      <c r="I342" s="31"/>
      <c r="J342" s="36"/>
      <c r="L342" s="31"/>
      <c r="M342" s="36"/>
    </row>
    <row r="343" ht="14.25" customHeight="1">
      <c r="H343" s="79"/>
      <c r="I343" s="31"/>
      <c r="J343" s="36"/>
      <c r="L343" s="31"/>
      <c r="M343" s="36"/>
    </row>
    <row r="344" ht="14.25" customHeight="1">
      <c r="H344" s="79"/>
      <c r="I344" s="31"/>
      <c r="J344" s="36"/>
      <c r="L344" s="31"/>
      <c r="M344" s="36"/>
    </row>
    <row r="345" ht="14.25" customHeight="1">
      <c r="H345" s="79"/>
      <c r="I345" s="31"/>
      <c r="J345" s="36"/>
      <c r="L345" s="31"/>
      <c r="M345" s="36"/>
    </row>
    <row r="346" ht="14.25" customHeight="1">
      <c r="H346" s="79"/>
      <c r="I346" s="31"/>
      <c r="J346" s="36"/>
      <c r="L346" s="31"/>
      <c r="M346" s="36"/>
    </row>
    <row r="347" ht="14.25" customHeight="1">
      <c r="H347" s="79"/>
      <c r="I347" s="31"/>
      <c r="J347" s="36"/>
      <c r="L347" s="31"/>
      <c r="M347" s="36"/>
    </row>
    <row r="348" ht="14.25" customHeight="1">
      <c r="H348" s="79"/>
      <c r="I348" s="31"/>
      <c r="J348" s="36"/>
      <c r="L348" s="31"/>
      <c r="M348" s="36"/>
    </row>
    <row r="349" ht="14.25" customHeight="1">
      <c r="H349" s="79"/>
      <c r="I349" s="31"/>
      <c r="J349" s="36"/>
      <c r="L349" s="31"/>
      <c r="M349" s="36"/>
    </row>
    <row r="350" ht="14.25" customHeight="1">
      <c r="H350" s="79"/>
      <c r="I350" s="31"/>
      <c r="J350" s="36"/>
      <c r="L350" s="31"/>
      <c r="M350" s="36"/>
    </row>
    <row r="351" ht="14.25" customHeight="1">
      <c r="H351" s="79"/>
      <c r="I351" s="31"/>
      <c r="J351" s="36"/>
      <c r="L351" s="31"/>
      <c r="M351" s="36"/>
    </row>
    <row r="352" ht="14.25" customHeight="1">
      <c r="H352" s="79"/>
      <c r="I352" s="31"/>
      <c r="J352" s="36"/>
      <c r="L352" s="31"/>
      <c r="M352" s="36"/>
    </row>
    <row r="353" ht="14.25" customHeight="1">
      <c r="H353" s="79"/>
      <c r="I353" s="31"/>
      <c r="J353" s="36"/>
      <c r="L353" s="31"/>
      <c r="M353" s="36"/>
    </row>
    <row r="354" ht="14.25" customHeight="1">
      <c r="H354" s="79"/>
      <c r="I354" s="31"/>
      <c r="J354" s="36"/>
      <c r="L354" s="31"/>
      <c r="M354" s="36"/>
    </row>
    <row r="355" ht="14.25" customHeight="1">
      <c r="H355" s="79"/>
      <c r="I355" s="31"/>
      <c r="J355" s="36"/>
      <c r="L355" s="31"/>
      <c r="M355" s="36"/>
    </row>
    <row r="356" ht="14.25" customHeight="1">
      <c r="H356" s="79"/>
      <c r="I356" s="31"/>
      <c r="J356" s="36"/>
      <c r="L356" s="31"/>
      <c r="M356" s="36"/>
    </row>
    <row r="357" ht="14.25" customHeight="1">
      <c r="H357" s="79"/>
      <c r="I357" s="31"/>
      <c r="J357" s="36"/>
      <c r="L357" s="31"/>
      <c r="M357" s="36"/>
    </row>
    <row r="358" ht="14.25" customHeight="1">
      <c r="H358" s="79"/>
      <c r="I358" s="31"/>
      <c r="J358" s="36"/>
      <c r="L358" s="31"/>
      <c r="M358" s="36"/>
    </row>
    <row r="359" ht="14.25" customHeight="1">
      <c r="H359" s="79"/>
      <c r="I359" s="31"/>
      <c r="J359" s="36"/>
      <c r="L359" s="31"/>
      <c r="M359" s="36"/>
    </row>
    <row r="360" ht="14.25" customHeight="1">
      <c r="H360" s="79"/>
      <c r="I360" s="31"/>
      <c r="J360" s="36"/>
      <c r="L360" s="31"/>
      <c r="M360" s="36"/>
    </row>
    <row r="361" ht="14.25" customHeight="1">
      <c r="H361" s="79"/>
      <c r="I361" s="31"/>
      <c r="J361" s="36"/>
      <c r="L361" s="31"/>
      <c r="M361" s="36"/>
    </row>
    <row r="362" ht="14.25" customHeight="1">
      <c r="H362" s="79"/>
      <c r="I362" s="31"/>
      <c r="J362" s="36"/>
      <c r="L362" s="31"/>
      <c r="M362" s="36"/>
    </row>
    <row r="363" ht="14.25" customHeight="1">
      <c r="H363" s="79"/>
      <c r="I363" s="31"/>
      <c r="J363" s="36"/>
      <c r="L363" s="31"/>
      <c r="M363" s="36"/>
    </row>
    <row r="364" ht="14.25" customHeight="1">
      <c r="H364" s="79"/>
      <c r="I364" s="31"/>
      <c r="J364" s="36"/>
      <c r="L364" s="31"/>
      <c r="M364" s="36"/>
    </row>
    <row r="365" ht="14.25" customHeight="1">
      <c r="H365" s="79"/>
      <c r="I365" s="31"/>
      <c r="J365" s="36"/>
      <c r="L365" s="31"/>
      <c r="M365" s="36"/>
    </row>
    <row r="366" ht="14.25" customHeight="1">
      <c r="H366" s="79"/>
      <c r="I366" s="31"/>
      <c r="J366" s="36"/>
      <c r="L366" s="31"/>
      <c r="M366" s="36"/>
    </row>
    <row r="367" ht="14.25" customHeight="1">
      <c r="H367" s="79"/>
      <c r="I367" s="31"/>
      <c r="J367" s="36"/>
      <c r="L367" s="31"/>
      <c r="M367" s="36"/>
    </row>
    <row r="368" ht="14.25" customHeight="1">
      <c r="H368" s="79"/>
      <c r="I368" s="31"/>
      <c r="J368" s="36"/>
      <c r="L368" s="31"/>
      <c r="M368" s="36"/>
    </row>
    <row r="369" ht="14.25" customHeight="1">
      <c r="H369" s="79"/>
      <c r="I369" s="31"/>
      <c r="J369" s="36"/>
      <c r="L369" s="31"/>
      <c r="M369" s="36"/>
    </row>
    <row r="370" ht="14.25" customHeight="1">
      <c r="H370" s="79"/>
      <c r="I370" s="31"/>
      <c r="J370" s="36"/>
      <c r="L370" s="31"/>
      <c r="M370" s="36"/>
    </row>
    <row r="371" ht="14.25" customHeight="1">
      <c r="H371" s="79"/>
      <c r="I371" s="31"/>
      <c r="J371" s="36"/>
      <c r="L371" s="31"/>
      <c r="M371" s="36"/>
    </row>
    <row r="372" ht="14.25" customHeight="1">
      <c r="H372" s="79"/>
      <c r="I372" s="31"/>
      <c r="J372" s="36"/>
      <c r="L372" s="31"/>
      <c r="M372" s="36"/>
    </row>
    <row r="373" ht="14.25" customHeight="1">
      <c r="H373" s="79"/>
      <c r="I373" s="31"/>
      <c r="J373" s="36"/>
      <c r="L373" s="31"/>
      <c r="M373" s="36"/>
    </row>
    <row r="374" ht="14.25" customHeight="1">
      <c r="H374" s="79"/>
      <c r="I374" s="31"/>
      <c r="J374" s="36"/>
      <c r="L374" s="31"/>
      <c r="M374" s="36"/>
    </row>
    <row r="375" ht="14.25" customHeight="1">
      <c r="H375" s="79"/>
      <c r="I375" s="31"/>
      <c r="J375" s="36"/>
      <c r="L375" s="31"/>
      <c r="M375" s="36"/>
    </row>
    <row r="376" ht="14.25" customHeight="1">
      <c r="H376" s="79"/>
      <c r="I376" s="31"/>
      <c r="J376" s="36"/>
      <c r="L376" s="31"/>
      <c r="M376" s="36"/>
    </row>
    <row r="377" ht="14.25" customHeight="1">
      <c r="H377" s="79"/>
      <c r="I377" s="31"/>
      <c r="J377" s="36"/>
      <c r="L377" s="31"/>
      <c r="M377" s="36"/>
    </row>
    <row r="378" ht="14.25" customHeight="1">
      <c r="H378" s="79"/>
      <c r="I378" s="31"/>
      <c r="J378" s="36"/>
      <c r="L378" s="31"/>
      <c r="M378" s="36"/>
    </row>
    <row r="379" ht="14.25" customHeight="1">
      <c r="H379" s="79"/>
      <c r="I379" s="31"/>
      <c r="J379" s="36"/>
      <c r="L379" s="31"/>
      <c r="M379" s="36"/>
    </row>
    <row r="380" ht="14.25" customHeight="1">
      <c r="H380" s="79"/>
      <c r="I380" s="31"/>
      <c r="J380" s="36"/>
      <c r="L380" s="31"/>
      <c r="M380" s="36"/>
    </row>
    <row r="381" ht="14.25" customHeight="1">
      <c r="H381" s="79"/>
      <c r="I381" s="31"/>
      <c r="J381" s="36"/>
      <c r="L381" s="31"/>
      <c r="M381" s="36"/>
    </row>
    <row r="382" ht="14.25" customHeight="1">
      <c r="H382" s="79"/>
      <c r="I382" s="31"/>
      <c r="J382" s="36"/>
      <c r="L382" s="31"/>
      <c r="M382" s="36"/>
    </row>
    <row r="383" ht="14.25" customHeight="1">
      <c r="H383" s="79"/>
      <c r="I383" s="31"/>
      <c r="J383" s="36"/>
      <c r="L383" s="31"/>
      <c r="M383" s="36"/>
    </row>
    <row r="384" ht="14.25" customHeight="1">
      <c r="H384" s="79"/>
      <c r="I384" s="31"/>
      <c r="J384" s="36"/>
      <c r="L384" s="31"/>
      <c r="M384" s="36"/>
    </row>
    <row r="385" ht="14.25" customHeight="1">
      <c r="H385" s="79"/>
      <c r="I385" s="31"/>
      <c r="J385" s="36"/>
      <c r="L385" s="31"/>
      <c r="M385" s="36"/>
    </row>
    <row r="386" ht="14.25" customHeight="1">
      <c r="H386" s="79"/>
      <c r="I386" s="31"/>
      <c r="J386" s="36"/>
      <c r="L386" s="31"/>
      <c r="M386" s="36"/>
    </row>
    <row r="387" ht="14.25" customHeight="1">
      <c r="H387" s="79"/>
      <c r="I387" s="31"/>
      <c r="J387" s="36"/>
      <c r="L387" s="31"/>
      <c r="M387" s="36"/>
    </row>
    <row r="388" ht="14.25" customHeight="1">
      <c r="H388" s="79"/>
      <c r="I388" s="31"/>
      <c r="J388" s="36"/>
      <c r="L388" s="31"/>
      <c r="M388" s="36"/>
    </row>
    <row r="389" ht="14.25" customHeight="1">
      <c r="H389" s="79"/>
      <c r="I389" s="31"/>
      <c r="J389" s="36"/>
      <c r="L389" s="31"/>
      <c r="M389" s="36"/>
    </row>
    <row r="390" ht="14.25" customHeight="1">
      <c r="H390" s="79"/>
      <c r="I390" s="31"/>
      <c r="J390" s="36"/>
      <c r="L390" s="31"/>
      <c r="M390" s="36"/>
    </row>
    <row r="391" ht="14.25" customHeight="1">
      <c r="H391" s="79"/>
      <c r="I391" s="31"/>
      <c r="J391" s="36"/>
      <c r="L391" s="31"/>
      <c r="M391" s="36"/>
    </row>
    <row r="392" ht="14.25" customHeight="1">
      <c r="H392" s="79"/>
      <c r="I392" s="31"/>
      <c r="J392" s="36"/>
      <c r="L392" s="31"/>
      <c r="M392" s="36"/>
    </row>
    <row r="393" ht="14.25" customHeight="1">
      <c r="H393" s="79"/>
      <c r="I393" s="31"/>
      <c r="J393" s="36"/>
      <c r="L393" s="31"/>
      <c r="M393" s="36"/>
    </row>
    <row r="394" ht="14.25" customHeight="1">
      <c r="H394" s="79"/>
      <c r="I394" s="31"/>
      <c r="J394" s="36"/>
      <c r="L394" s="31"/>
      <c r="M394" s="36"/>
    </row>
    <row r="395" ht="14.25" customHeight="1">
      <c r="H395" s="79"/>
      <c r="I395" s="31"/>
      <c r="J395" s="36"/>
      <c r="L395" s="31"/>
      <c r="M395" s="36"/>
    </row>
    <row r="396" ht="14.25" customHeight="1">
      <c r="H396" s="79"/>
      <c r="I396" s="31"/>
      <c r="J396" s="36"/>
      <c r="L396" s="31"/>
      <c r="M396" s="36"/>
    </row>
    <row r="397" ht="14.25" customHeight="1">
      <c r="H397" s="79"/>
      <c r="I397" s="31"/>
      <c r="J397" s="36"/>
      <c r="L397" s="31"/>
      <c r="M397" s="36"/>
    </row>
    <row r="398" ht="14.25" customHeight="1">
      <c r="H398" s="79"/>
      <c r="I398" s="31"/>
      <c r="J398" s="36"/>
      <c r="L398" s="31"/>
      <c r="M398" s="36"/>
    </row>
    <row r="399" ht="14.25" customHeight="1">
      <c r="H399" s="79"/>
      <c r="I399" s="31"/>
      <c r="J399" s="36"/>
      <c r="L399" s="31"/>
      <c r="M399" s="36"/>
    </row>
    <row r="400" ht="14.25" customHeight="1">
      <c r="H400" s="79"/>
      <c r="I400" s="31"/>
      <c r="J400" s="36"/>
      <c r="L400" s="31"/>
      <c r="M400" s="36"/>
    </row>
    <row r="401" ht="14.25" customHeight="1">
      <c r="H401" s="79"/>
      <c r="I401" s="31"/>
      <c r="J401" s="36"/>
      <c r="L401" s="31"/>
      <c r="M401" s="36"/>
    </row>
    <row r="402" ht="14.25" customHeight="1">
      <c r="H402" s="79"/>
      <c r="I402" s="31"/>
      <c r="J402" s="36"/>
      <c r="L402" s="31"/>
      <c r="M402" s="36"/>
    </row>
    <row r="403" ht="14.25" customHeight="1">
      <c r="H403" s="79"/>
      <c r="I403" s="31"/>
      <c r="J403" s="36"/>
      <c r="L403" s="31"/>
      <c r="M403" s="36"/>
    </row>
    <row r="404" ht="14.25" customHeight="1">
      <c r="H404" s="79"/>
      <c r="I404" s="31"/>
      <c r="J404" s="36"/>
      <c r="L404" s="31"/>
      <c r="M404" s="36"/>
    </row>
    <row r="405" ht="14.25" customHeight="1">
      <c r="H405" s="79"/>
      <c r="I405" s="31"/>
      <c r="J405" s="36"/>
      <c r="L405" s="31"/>
      <c r="M405" s="36"/>
    </row>
    <row r="406" ht="14.25" customHeight="1">
      <c r="H406" s="79"/>
      <c r="I406" s="31"/>
      <c r="J406" s="36"/>
      <c r="L406" s="31"/>
      <c r="M406" s="36"/>
    </row>
    <row r="407" ht="14.25" customHeight="1">
      <c r="H407" s="79"/>
      <c r="I407" s="31"/>
      <c r="J407" s="36"/>
      <c r="L407" s="31"/>
      <c r="M407" s="36"/>
    </row>
    <row r="408" ht="14.25" customHeight="1">
      <c r="H408" s="79"/>
      <c r="I408" s="31"/>
      <c r="J408" s="36"/>
      <c r="L408" s="31"/>
      <c r="M408" s="36"/>
    </row>
    <row r="409" ht="14.25" customHeight="1">
      <c r="H409" s="79"/>
      <c r="I409" s="31"/>
      <c r="J409" s="36"/>
      <c r="L409" s="31"/>
      <c r="M409" s="36"/>
    </row>
    <row r="410" ht="14.25" customHeight="1">
      <c r="H410" s="79"/>
      <c r="I410" s="31"/>
      <c r="J410" s="36"/>
      <c r="L410" s="31"/>
      <c r="M410" s="36"/>
    </row>
    <row r="411" ht="14.25" customHeight="1">
      <c r="H411" s="79"/>
      <c r="I411" s="31"/>
      <c r="J411" s="36"/>
      <c r="L411" s="31"/>
      <c r="M411" s="36"/>
    </row>
    <row r="412" ht="14.25" customHeight="1">
      <c r="H412" s="79"/>
      <c r="I412" s="31"/>
      <c r="J412" s="36"/>
      <c r="L412" s="31"/>
      <c r="M412" s="36"/>
    </row>
    <row r="413" ht="14.25" customHeight="1">
      <c r="H413" s="79"/>
      <c r="I413" s="31"/>
      <c r="J413" s="36"/>
      <c r="L413" s="31"/>
      <c r="M413" s="36"/>
    </row>
    <row r="414" ht="14.25" customHeight="1">
      <c r="H414" s="79"/>
      <c r="I414" s="31"/>
      <c r="J414" s="36"/>
      <c r="L414" s="31"/>
      <c r="M414" s="36"/>
    </row>
    <row r="415" ht="14.25" customHeight="1">
      <c r="H415" s="79"/>
      <c r="I415" s="31"/>
      <c r="J415" s="36"/>
      <c r="L415" s="31"/>
      <c r="M415" s="36"/>
    </row>
    <row r="416" ht="14.25" customHeight="1">
      <c r="H416" s="79"/>
      <c r="I416" s="31"/>
      <c r="J416" s="36"/>
      <c r="L416" s="31"/>
      <c r="M416" s="36"/>
    </row>
    <row r="417" ht="14.25" customHeight="1">
      <c r="H417" s="79"/>
      <c r="I417" s="31"/>
      <c r="J417" s="36"/>
      <c r="L417" s="31"/>
      <c r="M417" s="36"/>
    </row>
    <row r="418" ht="14.25" customHeight="1">
      <c r="H418" s="79"/>
      <c r="I418" s="31"/>
      <c r="J418" s="36"/>
      <c r="L418" s="31"/>
      <c r="M418" s="36"/>
    </row>
    <row r="419" ht="14.25" customHeight="1">
      <c r="H419" s="79"/>
      <c r="I419" s="31"/>
      <c r="J419" s="36"/>
      <c r="L419" s="31"/>
      <c r="M419" s="36"/>
    </row>
    <row r="420" ht="14.25" customHeight="1">
      <c r="H420" s="79"/>
      <c r="I420" s="31"/>
      <c r="J420" s="36"/>
      <c r="L420" s="31"/>
      <c r="M420" s="36"/>
    </row>
    <row r="421" ht="14.25" customHeight="1">
      <c r="H421" s="79"/>
      <c r="I421" s="31"/>
      <c r="J421" s="36"/>
      <c r="L421" s="31"/>
      <c r="M421" s="36"/>
    </row>
    <row r="422" ht="14.25" customHeight="1">
      <c r="H422" s="79"/>
      <c r="I422" s="31"/>
      <c r="J422" s="36"/>
      <c r="L422" s="31"/>
      <c r="M422" s="36"/>
    </row>
    <row r="423" ht="14.25" customHeight="1">
      <c r="H423" s="79"/>
      <c r="I423" s="31"/>
      <c r="J423" s="36"/>
      <c r="L423" s="31"/>
      <c r="M423" s="36"/>
    </row>
    <row r="424" ht="14.25" customHeight="1">
      <c r="H424" s="79"/>
      <c r="I424" s="31"/>
      <c r="J424" s="36"/>
      <c r="L424" s="31"/>
      <c r="M424" s="36"/>
    </row>
    <row r="425" ht="14.25" customHeight="1">
      <c r="H425" s="79"/>
      <c r="I425" s="31"/>
      <c r="J425" s="36"/>
      <c r="L425" s="31"/>
      <c r="M425" s="36"/>
    </row>
    <row r="426" ht="14.25" customHeight="1">
      <c r="H426" s="79"/>
      <c r="I426" s="31"/>
      <c r="J426" s="36"/>
      <c r="L426" s="31"/>
      <c r="M426" s="36"/>
    </row>
    <row r="427" ht="14.25" customHeight="1">
      <c r="H427" s="79"/>
      <c r="I427" s="31"/>
      <c r="J427" s="36"/>
      <c r="L427" s="31"/>
      <c r="M427" s="36"/>
    </row>
    <row r="428" ht="14.25" customHeight="1">
      <c r="H428" s="79"/>
      <c r="I428" s="31"/>
      <c r="J428" s="36"/>
      <c r="L428" s="31"/>
      <c r="M428" s="36"/>
    </row>
    <row r="429" ht="14.25" customHeight="1">
      <c r="H429" s="79"/>
      <c r="I429" s="31"/>
      <c r="J429" s="36"/>
      <c r="L429" s="31"/>
      <c r="M429" s="36"/>
    </row>
    <row r="430" ht="14.25" customHeight="1">
      <c r="H430" s="79"/>
      <c r="I430" s="31"/>
      <c r="J430" s="36"/>
      <c r="L430" s="31"/>
      <c r="M430" s="36"/>
    </row>
    <row r="431" ht="14.25" customHeight="1">
      <c r="H431" s="79"/>
      <c r="I431" s="31"/>
      <c r="J431" s="36"/>
      <c r="L431" s="31"/>
      <c r="M431" s="36"/>
    </row>
    <row r="432" ht="14.25" customHeight="1">
      <c r="H432" s="79"/>
      <c r="I432" s="31"/>
      <c r="J432" s="36"/>
      <c r="L432" s="31"/>
      <c r="M432" s="36"/>
    </row>
    <row r="433" ht="14.25" customHeight="1">
      <c r="H433" s="79"/>
      <c r="I433" s="31"/>
      <c r="J433" s="36"/>
      <c r="L433" s="31"/>
      <c r="M433" s="36"/>
    </row>
    <row r="434" ht="14.25" customHeight="1">
      <c r="H434" s="79"/>
      <c r="I434" s="31"/>
      <c r="J434" s="36"/>
      <c r="L434" s="31"/>
      <c r="M434" s="36"/>
    </row>
    <row r="435" ht="14.25" customHeight="1">
      <c r="H435" s="79"/>
      <c r="I435" s="31"/>
      <c r="J435" s="36"/>
      <c r="L435" s="31"/>
      <c r="M435" s="36"/>
    </row>
    <row r="436" ht="14.25" customHeight="1">
      <c r="H436" s="79"/>
      <c r="I436" s="31"/>
      <c r="J436" s="36"/>
      <c r="L436" s="31"/>
      <c r="M436" s="36"/>
    </row>
    <row r="437" ht="14.25" customHeight="1">
      <c r="H437" s="79"/>
      <c r="I437" s="31"/>
      <c r="J437" s="36"/>
      <c r="L437" s="31"/>
      <c r="M437" s="36"/>
    </row>
    <row r="438" ht="14.25" customHeight="1">
      <c r="H438" s="79"/>
      <c r="I438" s="31"/>
      <c r="J438" s="36"/>
      <c r="L438" s="31"/>
      <c r="M438" s="36"/>
    </row>
    <row r="439" ht="14.25" customHeight="1">
      <c r="H439" s="79"/>
      <c r="I439" s="31"/>
      <c r="J439" s="36"/>
      <c r="L439" s="31"/>
      <c r="M439" s="36"/>
    </row>
    <row r="440" ht="14.25" customHeight="1">
      <c r="H440" s="79"/>
      <c r="I440" s="31"/>
      <c r="J440" s="36"/>
      <c r="L440" s="31"/>
      <c r="M440" s="36"/>
    </row>
    <row r="441" ht="14.25" customHeight="1">
      <c r="H441" s="79"/>
      <c r="I441" s="31"/>
      <c r="J441" s="36"/>
      <c r="L441" s="31"/>
      <c r="M441" s="36"/>
    </row>
    <row r="442" ht="14.25" customHeight="1">
      <c r="H442" s="79"/>
      <c r="I442" s="31"/>
      <c r="J442" s="36"/>
      <c r="L442" s="31"/>
      <c r="M442" s="36"/>
    </row>
    <row r="443" ht="14.25" customHeight="1">
      <c r="H443" s="79"/>
      <c r="I443" s="31"/>
      <c r="J443" s="36"/>
      <c r="L443" s="31"/>
      <c r="M443" s="36"/>
    </row>
    <row r="444" ht="14.25" customHeight="1">
      <c r="H444" s="79"/>
      <c r="I444" s="31"/>
      <c r="J444" s="36"/>
      <c r="L444" s="31"/>
      <c r="M444" s="36"/>
    </row>
    <row r="445" ht="14.25" customHeight="1">
      <c r="H445" s="79"/>
      <c r="I445" s="31"/>
      <c r="J445" s="36"/>
      <c r="L445" s="31"/>
      <c r="M445" s="36"/>
    </row>
    <row r="446" ht="14.25" customHeight="1">
      <c r="H446" s="79"/>
      <c r="I446" s="31"/>
      <c r="J446" s="36"/>
      <c r="L446" s="31"/>
      <c r="M446" s="36"/>
    </row>
    <row r="447" ht="14.25" customHeight="1">
      <c r="H447" s="79"/>
      <c r="I447" s="31"/>
      <c r="J447" s="36"/>
      <c r="L447" s="31"/>
      <c r="M447" s="36"/>
    </row>
    <row r="448" ht="14.25" customHeight="1">
      <c r="H448" s="79"/>
      <c r="I448" s="31"/>
      <c r="J448" s="36"/>
      <c r="L448" s="31"/>
      <c r="M448" s="36"/>
    </row>
    <row r="449" ht="14.25" customHeight="1">
      <c r="H449" s="79"/>
      <c r="I449" s="31"/>
      <c r="J449" s="36"/>
      <c r="L449" s="31"/>
      <c r="M449" s="36"/>
    </row>
    <row r="450" ht="14.25" customHeight="1">
      <c r="H450" s="79"/>
      <c r="I450" s="31"/>
      <c r="J450" s="36"/>
      <c r="L450" s="31"/>
      <c r="M450" s="36"/>
    </row>
    <row r="451" ht="14.25" customHeight="1">
      <c r="H451" s="79"/>
      <c r="I451" s="31"/>
      <c r="J451" s="36"/>
      <c r="L451" s="31"/>
      <c r="M451" s="36"/>
    </row>
    <row r="452" ht="14.25" customHeight="1">
      <c r="H452" s="79"/>
      <c r="I452" s="31"/>
      <c r="J452" s="36"/>
      <c r="L452" s="31"/>
      <c r="M452" s="36"/>
    </row>
    <row r="453" ht="14.25" customHeight="1">
      <c r="H453" s="79"/>
      <c r="I453" s="31"/>
      <c r="J453" s="36"/>
      <c r="L453" s="31"/>
      <c r="M453" s="36"/>
    </row>
    <row r="454" ht="14.25" customHeight="1">
      <c r="H454" s="79"/>
      <c r="I454" s="31"/>
      <c r="J454" s="36"/>
      <c r="L454" s="31"/>
      <c r="M454" s="36"/>
    </row>
    <row r="455" ht="14.25" customHeight="1">
      <c r="H455" s="79"/>
      <c r="I455" s="31"/>
      <c r="J455" s="36"/>
      <c r="L455" s="31"/>
      <c r="M455" s="36"/>
    </row>
    <row r="456" ht="14.25" customHeight="1">
      <c r="H456" s="79"/>
      <c r="I456" s="31"/>
      <c r="J456" s="36"/>
      <c r="L456" s="31"/>
      <c r="M456" s="36"/>
    </row>
    <row r="457" ht="14.25" customHeight="1">
      <c r="H457" s="79"/>
      <c r="I457" s="31"/>
      <c r="J457" s="36"/>
      <c r="L457" s="31"/>
      <c r="M457" s="36"/>
    </row>
    <row r="458" ht="14.25" customHeight="1">
      <c r="H458" s="79"/>
      <c r="I458" s="31"/>
      <c r="J458" s="36"/>
      <c r="L458" s="31"/>
      <c r="M458" s="36"/>
    </row>
    <row r="459" ht="14.25" customHeight="1">
      <c r="H459" s="79"/>
      <c r="I459" s="31"/>
      <c r="J459" s="36"/>
      <c r="L459" s="31"/>
      <c r="M459" s="36"/>
    </row>
    <row r="460" ht="14.25" customHeight="1">
      <c r="H460" s="79"/>
      <c r="I460" s="31"/>
      <c r="J460" s="36"/>
      <c r="L460" s="31"/>
      <c r="M460" s="36"/>
    </row>
    <row r="461" ht="14.25" customHeight="1">
      <c r="H461" s="79"/>
      <c r="I461" s="31"/>
      <c r="J461" s="36"/>
      <c r="L461" s="31"/>
      <c r="M461" s="36"/>
    </row>
    <row r="462" ht="14.25" customHeight="1">
      <c r="H462" s="79"/>
      <c r="I462" s="31"/>
      <c r="J462" s="36"/>
      <c r="L462" s="31"/>
      <c r="M462" s="36"/>
    </row>
    <row r="463" ht="14.25" customHeight="1">
      <c r="H463" s="79"/>
      <c r="I463" s="31"/>
      <c r="J463" s="36"/>
      <c r="L463" s="31"/>
      <c r="M463" s="36"/>
    </row>
    <row r="464" ht="14.25" customHeight="1">
      <c r="H464" s="79"/>
      <c r="I464" s="31"/>
      <c r="J464" s="36"/>
      <c r="L464" s="31"/>
      <c r="M464" s="36"/>
    </row>
    <row r="465" ht="14.25" customHeight="1">
      <c r="H465" s="79"/>
      <c r="I465" s="31"/>
      <c r="J465" s="36"/>
      <c r="L465" s="31"/>
      <c r="M465" s="36"/>
    </row>
    <row r="466" ht="14.25" customHeight="1">
      <c r="H466" s="79"/>
      <c r="I466" s="31"/>
      <c r="J466" s="36"/>
      <c r="L466" s="31"/>
      <c r="M466" s="36"/>
    </row>
    <row r="467" ht="14.25" customHeight="1">
      <c r="H467" s="79"/>
      <c r="I467" s="31"/>
      <c r="J467" s="36"/>
      <c r="L467" s="31"/>
      <c r="M467" s="36"/>
    </row>
    <row r="468" ht="14.25" customHeight="1">
      <c r="H468" s="79"/>
      <c r="I468" s="31"/>
      <c r="J468" s="36"/>
      <c r="L468" s="31"/>
      <c r="M468" s="36"/>
    </row>
    <row r="469" ht="14.25" customHeight="1">
      <c r="H469" s="79"/>
      <c r="I469" s="31"/>
      <c r="J469" s="36"/>
      <c r="L469" s="31"/>
      <c r="M469" s="36"/>
    </row>
    <row r="470" ht="14.25" customHeight="1">
      <c r="H470" s="79"/>
      <c r="I470" s="31"/>
      <c r="J470" s="36"/>
      <c r="L470" s="31"/>
      <c r="M470" s="36"/>
    </row>
    <row r="471" ht="14.25" customHeight="1">
      <c r="H471" s="79"/>
      <c r="I471" s="31"/>
      <c r="J471" s="36"/>
      <c r="L471" s="31"/>
      <c r="M471" s="36"/>
    </row>
    <row r="472" ht="14.25" customHeight="1">
      <c r="H472" s="79"/>
      <c r="I472" s="31"/>
      <c r="J472" s="36"/>
      <c r="L472" s="31"/>
      <c r="M472" s="36"/>
    </row>
    <row r="473" ht="14.25" customHeight="1">
      <c r="H473" s="79"/>
      <c r="I473" s="31"/>
      <c r="J473" s="36"/>
      <c r="L473" s="31"/>
      <c r="M473" s="36"/>
    </row>
    <row r="474" ht="14.25" customHeight="1">
      <c r="H474" s="79"/>
      <c r="I474" s="31"/>
      <c r="J474" s="36"/>
      <c r="L474" s="31"/>
      <c r="M474" s="36"/>
    </row>
    <row r="475" ht="14.25" customHeight="1">
      <c r="H475" s="79"/>
      <c r="I475" s="31"/>
      <c r="J475" s="36"/>
      <c r="L475" s="31"/>
      <c r="M475" s="36"/>
    </row>
    <row r="476" ht="14.25" customHeight="1">
      <c r="H476" s="79"/>
      <c r="I476" s="31"/>
      <c r="J476" s="36"/>
      <c r="L476" s="31"/>
      <c r="M476" s="36"/>
    </row>
    <row r="477" ht="14.25" customHeight="1">
      <c r="H477" s="79"/>
      <c r="I477" s="31"/>
      <c r="J477" s="36"/>
      <c r="L477" s="31"/>
      <c r="M477" s="36"/>
    </row>
    <row r="478" ht="14.25" customHeight="1">
      <c r="H478" s="79"/>
      <c r="I478" s="31"/>
      <c r="J478" s="36"/>
      <c r="L478" s="31"/>
      <c r="M478" s="36"/>
    </row>
    <row r="479" ht="14.25" customHeight="1">
      <c r="H479" s="79"/>
      <c r="I479" s="31"/>
      <c r="J479" s="36"/>
      <c r="L479" s="31"/>
      <c r="M479" s="36"/>
    </row>
    <row r="480" ht="14.25" customHeight="1">
      <c r="H480" s="79"/>
      <c r="I480" s="31"/>
      <c r="J480" s="36"/>
      <c r="L480" s="31"/>
      <c r="M480" s="36"/>
    </row>
    <row r="481" ht="14.25" customHeight="1">
      <c r="H481" s="79"/>
      <c r="I481" s="31"/>
      <c r="J481" s="36"/>
      <c r="L481" s="31"/>
      <c r="M481" s="36"/>
    </row>
    <row r="482" ht="14.25" customHeight="1">
      <c r="H482" s="79"/>
      <c r="I482" s="31"/>
      <c r="J482" s="36"/>
      <c r="L482" s="31"/>
      <c r="M482" s="36"/>
    </row>
    <row r="483" ht="14.25" customHeight="1">
      <c r="H483" s="79"/>
      <c r="I483" s="31"/>
      <c r="J483" s="36"/>
      <c r="L483" s="31"/>
      <c r="M483" s="36"/>
    </row>
    <row r="484" ht="14.25" customHeight="1">
      <c r="H484" s="79"/>
      <c r="I484" s="31"/>
      <c r="J484" s="36"/>
      <c r="L484" s="31"/>
      <c r="M484" s="36"/>
    </row>
    <row r="485" ht="14.25" customHeight="1">
      <c r="H485" s="79"/>
      <c r="I485" s="31"/>
      <c r="J485" s="36"/>
      <c r="L485" s="31"/>
      <c r="M485" s="36"/>
    </row>
    <row r="486" ht="14.25" customHeight="1">
      <c r="H486" s="79"/>
      <c r="I486" s="31"/>
      <c r="J486" s="36"/>
      <c r="L486" s="31"/>
      <c r="M486" s="36"/>
    </row>
    <row r="487" ht="14.25" customHeight="1">
      <c r="H487" s="79"/>
      <c r="I487" s="31"/>
      <c r="J487" s="36"/>
      <c r="L487" s="31"/>
      <c r="M487" s="36"/>
    </row>
    <row r="488" ht="14.25" customHeight="1">
      <c r="H488" s="79"/>
      <c r="I488" s="31"/>
      <c r="J488" s="36"/>
      <c r="L488" s="31"/>
      <c r="M488" s="36"/>
    </row>
    <row r="489" ht="14.25" customHeight="1">
      <c r="H489" s="79"/>
      <c r="I489" s="31"/>
      <c r="J489" s="36"/>
      <c r="L489" s="31"/>
      <c r="M489" s="36"/>
    </row>
    <row r="490" ht="14.25" customHeight="1">
      <c r="H490" s="79"/>
      <c r="I490" s="31"/>
      <c r="J490" s="36"/>
      <c r="L490" s="31"/>
      <c r="M490" s="36"/>
    </row>
    <row r="491" ht="14.25" customHeight="1">
      <c r="H491" s="79"/>
      <c r="I491" s="31"/>
      <c r="J491" s="36"/>
      <c r="L491" s="31"/>
      <c r="M491" s="36"/>
    </row>
    <row r="492" ht="14.25" customHeight="1">
      <c r="H492" s="79"/>
      <c r="I492" s="31"/>
      <c r="J492" s="36"/>
      <c r="L492" s="31"/>
      <c r="M492" s="36"/>
    </row>
    <row r="493" ht="14.25" customHeight="1">
      <c r="H493" s="79"/>
      <c r="I493" s="31"/>
      <c r="J493" s="36"/>
      <c r="L493" s="31"/>
      <c r="M493" s="36"/>
    </row>
    <row r="494" ht="14.25" customHeight="1">
      <c r="H494" s="79"/>
      <c r="I494" s="31"/>
      <c r="J494" s="36"/>
      <c r="L494" s="31"/>
      <c r="M494" s="36"/>
    </row>
    <row r="495" ht="14.25" customHeight="1">
      <c r="H495" s="79"/>
      <c r="I495" s="31"/>
      <c r="J495" s="36"/>
      <c r="L495" s="31"/>
      <c r="M495" s="36"/>
    </row>
    <row r="496" ht="14.25" customHeight="1">
      <c r="H496" s="79"/>
      <c r="I496" s="31"/>
      <c r="J496" s="36"/>
      <c r="L496" s="31"/>
      <c r="M496" s="36"/>
    </row>
    <row r="497" ht="14.25" customHeight="1">
      <c r="H497" s="79"/>
      <c r="I497" s="31"/>
      <c r="J497" s="36"/>
      <c r="L497" s="31"/>
      <c r="M497" s="36"/>
    </row>
    <row r="498" ht="14.25" customHeight="1">
      <c r="H498" s="79"/>
      <c r="I498" s="31"/>
      <c r="J498" s="36"/>
      <c r="L498" s="31"/>
      <c r="M498" s="36"/>
    </row>
    <row r="499" ht="14.25" customHeight="1">
      <c r="H499" s="79"/>
      <c r="I499" s="31"/>
      <c r="J499" s="36"/>
      <c r="L499" s="31"/>
      <c r="M499" s="36"/>
    </row>
    <row r="500" ht="14.25" customHeight="1">
      <c r="H500" s="79"/>
      <c r="I500" s="31"/>
      <c r="J500" s="36"/>
      <c r="L500" s="31"/>
      <c r="M500" s="36"/>
    </row>
    <row r="501" ht="14.25" customHeight="1">
      <c r="H501" s="79"/>
      <c r="I501" s="31"/>
      <c r="J501" s="36"/>
      <c r="L501" s="31"/>
      <c r="M501" s="36"/>
    </row>
    <row r="502" ht="14.25" customHeight="1">
      <c r="H502" s="79"/>
      <c r="I502" s="31"/>
      <c r="J502" s="36"/>
      <c r="L502" s="31"/>
      <c r="M502" s="36"/>
    </row>
    <row r="503" ht="14.25" customHeight="1">
      <c r="H503" s="79"/>
      <c r="I503" s="31"/>
      <c r="J503" s="36"/>
      <c r="L503" s="31"/>
      <c r="M503" s="36"/>
    </row>
    <row r="504" ht="14.25" customHeight="1">
      <c r="H504" s="79"/>
      <c r="I504" s="31"/>
      <c r="J504" s="36"/>
      <c r="L504" s="31"/>
      <c r="M504" s="36"/>
    </row>
    <row r="505" ht="14.25" customHeight="1">
      <c r="H505" s="79"/>
      <c r="I505" s="31"/>
      <c r="J505" s="36"/>
      <c r="L505" s="31"/>
      <c r="M505" s="36"/>
    </row>
    <row r="506" ht="14.25" customHeight="1">
      <c r="H506" s="79"/>
      <c r="I506" s="31"/>
      <c r="J506" s="36"/>
      <c r="L506" s="31"/>
      <c r="M506" s="36"/>
    </row>
    <row r="507" ht="14.25" customHeight="1">
      <c r="H507" s="79"/>
      <c r="I507" s="31"/>
      <c r="J507" s="36"/>
      <c r="L507" s="31"/>
      <c r="M507" s="36"/>
    </row>
    <row r="508" ht="14.25" customHeight="1">
      <c r="H508" s="79"/>
      <c r="I508" s="31"/>
      <c r="J508" s="36"/>
      <c r="L508" s="31"/>
      <c r="M508" s="36"/>
    </row>
    <row r="509" ht="14.25" customHeight="1">
      <c r="H509" s="79"/>
      <c r="I509" s="31"/>
      <c r="J509" s="36"/>
      <c r="L509" s="31"/>
      <c r="M509" s="36"/>
    </row>
    <row r="510" ht="14.25" customHeight="1">
      <c r="H510" s="79"/>
      <c r="I510" s="31"/>
      <c r="J510" s="36"/>
      <c r="L510" s="31"/>
      <c r="M510" s="36"/>
    </row>
    <row r="511" ht="14.25" customHeight="1">
      <c r="H511" s="79"/>
      <c r="I511" s="31"/>
      <c r="J511" s="36"/>
      <c r="L511" s="31"/>
      <c r="M511" s="36"/>
    </row>
    <row r="512" ht="14.25" customHeight="1">
      <c r="H512" s="79"/>
      <c r="I512" s="31"/>
      <c r="J512" s="36"/>
      <c r="L512" s="31"/>
      <c r="M512" s="36"/>
    </row>
    <row r="513" ht="14.25" customHeight="1">
      <c r="H513" s="79"/>
      <c r="I513" s="31"/>
      <c r="J513" s="36"/>
      <c r="L513" s="31"/>
      <c r="M513" s="36"/>
    </row>
    <row r="514" ht="14.25" customHeight="1">
      <c r="H514" s="79"/>
      <c r="I514" s="31"/>
      <c r="J514" s="36"/>
      <c r="L514" s="31"/>
      <c r="M514" s="36"/>
    </row>
    <row r="515" ht="14.25" customHeight="1">
      <c r="H515" s="79"/>
      <c r="I515" s="31"/>
      <c r="J515" s="36"/>
      <c r="L515" s="31"/>
      <c r="M515" s="36"/>
    </row>
    <row r="516" ht="14.25" customHeight="1">
      <c r="H516" s="79"/>
      <c r="I516" s="31"/>
      <c r="J516" s="36"/>
      <c r="L516" s="31"/>
      <c r="M516" s="36"/>
    </row>
    <row r="517" ht="14.25" customHeight="1">
      <c r="H517" s="79"/>
      <c r="I517" s="31"/>
      <c r="J517" s="36"/>
      <c r="L517" s="31"/>
      <c r="M517" s="36"/>
    </row>
    <row r="518" ht="14.25" customHeight="1">
      <c r="H518" s="79"/>
      <c r="I518" s="31"/>
      <c r="J518" s="36"/>
      <c r="L518" s="31"/>
      <c r="M518" s="36"/>
    </row>
    <row r="519" ht="14.25" customHeight="1">
      <c r="H519" s="79"/>
      <c r="I519" s="31"/>
      <c r="J519" s="36"/>
      <c r="L519" s="31"/>
      <c r="M519" s="36"/>
    </row>
    <row r="520" ht="14.25" customHeight="1">
      <c r="H520" s="79"/>
      <c r="I520" s="31"/>
      <c r="J520" s="36"/>
      <c r="L520" s="31"/>
      <c r="M520" s="36"/>
    </row>
    <row r="521" ht="14.25" customHeight="1">
      <c r="H521" s="79"/>
      <c r="I521" s="31"/>
      <c r="J521" s="36"/>
      <c r="L521" s="31"/>
      <c r="M521" s="36"/>
    </row>
    <row r="522" ht="14.25" customHeight="1">
      <c r="H522" s="79"/>
      <c r="I522" s="31"/>
      <c r="J522" s="36"/>
      <c r="L522" s="31"/>
      <c r="M522" s="36"/>
    </row>
    <row r="523" ht="14.25" customHeight="1">
      <c r="H523" s="79"/>
      <c r="I523" s="31"/>
      <c r="J523" s="36"/>
      <c r="L523" s="31"/>
      <c r="M523" s="36"/>
    </row>
    <row r="524" ht="14.25" customHeight="1">
      <c r="H524" s="79"/>
      <c r="I524" s="31"/>
      <c r="J524" s="36"/>
      <c r="L524" s="31"/>
      <c r="M524" s="36"/>
    </row>
    <row r="525" ht="14.25" customHeight="1">
      <c r="H525" s="79"/>
      <c r="I525" s="31"/>
      <c r="J525" s="36"/>
      <c r="L525" s="31"/>
      <c r="M525" s="36"/>
    </row>
    <row r="526" ht="14.25" customHeight="1">
      <c r="H526" s="79"/>
      <c r="I526" s="31"/>
      <c r="J526" s="36"/>
      <c r="L526" s="31"/>
      <c r="M526" s="36"/>
    </row>
    <row r="527" ht="14.25" customHeight="1">
      <c r="H527" s="79"/>
      <c r="I527" s="31"/>
      <c r="J527" s="36"/>
      <c r="L527" s="31"/>
      <c r="M527" s="36"/>
    </row>
    <row r="528" ht="14.25" customHeight="1">
      <c r="H528" s="79"/>
      <c r="I528" s="31"/>
      <c r="J528" s="36"/>
      <c r="L528" s="31"/>
      <c r="M528" s="36"/>
    </row>
    <row r="529" ht="14.25" customHeight="1">
      <c r="H529" s="79"/>
      <c r="I529" s="31"/>
      <c r="J529" s="36"/>
      <c r="L529" s="31"/>
      <c r="M529" s="36"/>
    </row>
    <row r="530" ht="14.25" customHeight="1">
      <c r="H530" s="79"/>
      <c r="I530" s="31"/>
      <c r="J530" s="36"/>
      <c r="L530" s="31"/>
      <c r="M530" s="36"/>
    </row>
    <row r="531" ht="14.25" customHeight="1">
      <c r="H531" s="79"/>
      <c r="I531" s="31"/>
      <c r="J531" s="36"/>
      <c r="L531" s="31"/>
      <c r="M531" s="36"/>
    </row>
    <row r="532" ht="14.25" customHeight="1">
      <c r="H532" s="79"/>
      <c r="I532" s="31"/>
      <c r="J532" s="36"/>
      <c r="L532" s="31"/>
      <c r="M532" s="36"/>
    </row>
    <row r="533" ht="14.25" customHeight="1">
      <c r="H533" s="79"/>
      <c r="I533" s="31"/>
      <c r="J533" s="36"/>
      <c r="L533" s="31"/>
      <c r="M533" s="36"/>
    </row>
    <row r="534" ht="14.25" customHeight="1">
      <c r="H534" s="79"/>
      <c r="I534" s="31"/>
      <c r="J534" s="36"/>
      <c r="L534" s="31"/>
      <c r="M534" s="36"/>
    </row>
    <row r="535" ht="14.25" customHeight="1">
      <c r="H535" s="79"/>
      <c r="I535" s="31"/>
      <c r="J535" s="36"/>
      <c r="L535" s="31"/>
      <c r="M535" s="36"/>
    </row>
    <row r="536" ht="14.25" customHeight="1">
      <c r="H536" s="79"/>
      <c r="I536" s="31"/>
      <c r="J536" s="36"/>
      <c r="L536" s="31"/>
      <c r="M536" s="36"/>
    </row>
    <row r="537" ht="14.25" customHeight="1">
      <c r="H537" s="79"/>
      <c r="I537" s="31"/>
      <c r="J537" s="36"/>
      <c r="L537" s="31"/>
      <c r="M537" s="36"/>
    </row>
    <row r="538" ht="14.25" customHeight="1">
      <c r="H538" s="79"/>
      <c r="I538" s="31"/>
      <c r="J538" s="36"/>
      <c r="L538" s="31"/>
      <c r="M538" s="36"/>
    </row>
    <row r="539" ht="14.25" customHeight="1">
      <c r="H539" s="79"/>
      <c r="I539" s="31"/>
      <c r="J539" s="36"/>
      <c r="L539" s="31"/>
      <c r="M539" s="36"/>
    </row>
    <row r="540" ht="14.25" customHeight="1">
      <c r="H540" s="79"/>
      <c r="I540" s="31"/>
      <c r="J540" s="36"/>
      <c r="L540" s="31"/>
      <c r="M540" s="36"/>
    </row>
    <row r="541" ht="14.25" customHeight="1">
      <c r="H541" s="79"/>
      <c r="I541" s="31"/>
      <c r="J541" s="36"/>
      <c r="L541" s="31"/>
      <c r="M541" s="36"/>
    </row>
    <row r="542" ht="14.25" customHeight="1">
      <c r="H542" s="79"/>
      <c r="I542" s="31"/>
      <c r="J542" s="36"/>
      <c r="L542" s="31"/>
      <c r="M542" s="36"/>
    </row>
    <row r="543" ht="14.25" customHeight="1">
      <c r="H543" s="79"/>
      <c r="I543" s="31"/>
      <c r="J543" s="36"/>
      <c r="L543" s="31"/>
      <c r="M543" s="36"/>
    </row>
    <row r="544" ht="14.25" customHeight="1">
      <c r="H544" s="79"/>
      <c r="I544" s="31"/>
      <c r="J544" s="36"/>
      <c r="L544" s="31"/>
      <c r="M544" s="36"/>
    </row>
    <row r="545" ht="14.25" customHeight="1">
      <c r="H545" s="79"/>
      <c r="I545" s="31"/>
      <c r="J545" s="36"/>
      <c r="L545" s="31"/>
      <c r="M545" s="36"/>
    </row>
    <row r="546" ht="14.25" customHeight="1">
      <c r="H546" s="79"/>
      <c r="I546" s="31"/>
      <c r="J546" s="36"/>
      <c r="L546" s="31"/>
      <c r="M546" s="36"/>
    </row>
    <row r="547" ht="14.25" customHeight="1">
      <c r="H547" s="79"/>
      <c r="I547" s="31"/>
      <c r="J547" s="36"/>
      <c r="L547" s="31"/>
      <c r="M547" s="36"/>
    </row>
    <row r="548" ht="14.25" customHeight="1">
      <c r="H548" s="79"/>
      <c r="I548" s="31"/>
      <c r="J548" s="36"/>
      <c r="L548" s="31"/>
      <c r="M548" s="36"/>
    </row>
    <row r="549" ht="14.25" customHeight="1">
      <c r="H549" s="79"/>
      <c r="I549" s="31"/>
      <c r="J549" s="36"/>
      <c r="L549" s="31"/>
      <c r="M549" s="36"/>
    </row>
    <row r="550" ht="14.25" customHeight="1">
      <c r="H550" s="79"/>
      <c r="I550" s="31"/>
      <c r="J550" s="36"/>
      <c r="L550" s="31"/>
      <c r="M550" s="36"/>
    </row>
    <row r="551" ht="14.25" customHeight="1">
      <c r="H551" s="79"/>
      <c r="I551" s="31"/>
      <c r="J551" s="36"/>
      <c r="L551" s="31"/>
      <c r="M551" s="36"/>
    </row>
    <row r="552" ht="14.25" customHeight="1">
      <c r="H552" s="79"/>
      <c r="I552" s="31"/>
      <c r="J552" s="36"/>
      <c r="L552" s="31"/>
      <c r="M552" s="36"/>
    </row>
    <row r="553" ht="14.25" customHeight="1">
      <c r="H553" s="79"/>
      <c r="I553" s="31"/>
      <c r="J553" s="36"/>
      <c r="L553" s="31"/>
      <c r="M553" s="36"/>
    </row>
    <row r="554" ht="14.25" customHeight="1">
      <c r="H554" s="79"/>
      <c r="I554" s="31"/>
      <c r="J554" s="36"/>
      <c r="L554" s="31"/>
      <c r="M554" s="36"/>
    </row>
    <row r="555" ht="14.25" customHeight="1">
      <c r="H555" s="79"/>
      <c r="I555" s="31"/>
      <c r="J555" s="36"/>
      <c r="L555" s="31"/>
      <c r="M555" s="36"/>
    </row>
    <row r="556" ht="14.25" customHeight="1">
      <c r="H556" s="79"/>
      <c r="I556" s="31"/>
      <c r="J556" s="36"/>
      <c r="L556" s="31"/>
      <c r="M556" s="36"/>
    </row>
    <row r="557" ht="14.25" customHeight="1">
      <c r="H557" s="79"/>
      <c r="I557" s="31"/>
      <c r="J557" s="36"/>
      <c r="L557" s="31"/>
      <c r="M557" s="36"/>
    </row>
    <row r="558" ht="14.25" customHeight="1">
      <c r="H558" s="79"/>
      <c r="I558" s="31"/>
      <c r="J558" s="36"/>
      <c r="L558" s="31"/>
      <c r="M558" s="36"/>
    </row>
    <row r="559" ht="14.25" customHeight="1">
      <c r="H559" s="79"/>
      <c r="I559" s="31"/>
      <c r="J559" s="36"/>
      <c r="L559" s="31"/>
      <c r="M559" s="36"/>
    </row>
    <row r="560" ht="14.25" customHeight="1">
      <c r="H560" s="79"/>
      <c r="I560" s="31"/>
      <c r="J560" s="36"/>
      <c r="L560" s="31"/>
      <c r="M560" s="36"/>
    </row>
    <row r="561" ht="14.25" customHeight="1">
      <c r="H561" s="79"/>
      <c r="I561" s="31"/>
      <c r="J561" s="36"/>
      <c r="L561" s="31"/>
      <c r="M561" s="36"/>
    </row>
    <row r="562" ht="14.25" customHeight="1">
      <c r="H562" s="79"/>
      <c r="I562" s="31"/>
      <c r="J562" s="36"/>
      <c r="L562" s="31"/>
      <c r="M562" s="36"/>
    </row>
    <row r="563" ht="14.25" customHeight="1">
      <c r="H563" s="79"/>
      <c r="I563" s="31"/>
      <c r="J563" s="36"/>
      <c r="L563" s="31"/>
      <c r="M563" s="36"/>
    </row>
    <row r="564" ht="14.25" customHeight="1">
      <c r="H564" s="79"/>
      <c r="I564" s="31"/>
      <c r="J564" s="36"/>
      <c r="L564" s="31"/>
      <c r="M564" s="36"/>
    </row>
    <row r="565" ht="14.25" customHeight="1">
      <c r="H565" s="79"/>
      <c r="I565" s="31"/>
      <c r="J565" s="36"/>
      <c r="L565" s="31"/>
      <c r="M565" s="36"/>
    </row>
    <row r="566" ht="14.25" customHeight="1">
      <c r="H566" s="79"/>
      <c r="I566" s="31"/>
      <c r="J566" s="36"/>
      <c r="L566" s="31"/>
      <c r="M566" s="36"/>
    </row>
    <row r="567" ht="14.25" customHeight="1">
      <c r="H567" s="79"/>
      <c r="I567" s="31"/>
      <c r="J567" s="36"/>
      <c r="L567" s="31"/>
      <c r="M567" s="36"/>
    </row>
    <row r="568" ht="14.25" customHeight="1">
      <c r="H568" s="79"/>
      <c r="I568" s="31"/>
      <c r="J568" s="36"/>
      <c r="L568" s="31"/>
      <c r="M568" s="36"/>
    </row>
    <row r="569" ht="14.25" customHeight="1">
      <c r="H569" s="79"/>
      <c r="I569" s="31"/>
      <c r="J569" s="36"/>
      <c r="L569" s="31"/>
      <c r="M569" s="36"/>
    </row>
    <row r="570" ht="14.25" customHeight="1">
      <c r="H570" s="79"/>
      <c r="I570" s="31"/>
      <c r="J570" s="36"/>
      <c r="L570" s="31"/>
      <c r="M570" s="36"/>
    </row>
    <row r="571" ht="14.25" customHeight="1">
      <c r="H571" s="79"/>
      <c r="I571" s="31"/>
      <c r="J571" s="36"/>
      <c r="L571" s="31"/>
      <c r="M571" s="36"/>
    </row>
    <row r="572" ht="14.25" customHeight="1">
      <c r="H572" s="79"/>
      <c r="I572" s="31"/>
      <c r="J572" s="36"/>
      <c r="L572" s="31"/>
      <c r="M572" s="36"/>
    </row>
    <row r="573" ht="14.25" customHeight="1">
      <c r="H573" s="79"/>
      <c r="I573" s="31"/>
      <c r="J573" s="36"/>
      <c r="L573" s="31"/>
      <c r="M573" s="36"/>
    </row>
    <row r="574" ht="14.25" customHeight="1">
      <c r="H574" s="79"/>
      <c r="I574" s="31"/>
      <c r="J574" s="36"/>
      <c r="L574" s="31"/>
      <c r="M574" s="36"/>
    </row>
    <row r="575" ht="14.25" customHeight="1">
      <c r="H575" s="79"/>
      <c r="I575" s="31"/>
      <c r="J575" s="36"/>
      <c r="L575" s="31"/>
      <c r="M575" s="36"/>
    </row>
    <row r="576" ht="14.25" customHeight="1">
      <c r="H576" s="79"/>
      <c r="I576" s="31"/>
      <c r="J576" s="36"/>
      <c r="L576" s="31"/>
      <c r="M576" s="36"/>
    </row>
    <row r="577" ht="14.25" customHeight="1">
      <c r="H577" s="79"/>
      <c r="I577" s="31"/>
      <c r="J577" s="36"/>
      <c r="L577" s="31"/>
      <c r="M577" s="36"/>
    </row>
    <row r="578" ht="14.25" customHeight="1">
      <c r="H578" s="79"/>
      <c r="I578" s="31"/>
      <c r="J578" s="36"/>
      <c r="L578" s="31"/>
      <c r="M578" s="36"/>
    </row>
    <row r="579" ht="14.25" customHeight="1">
      <c r="H579" s="79"/>
      <c r="I579" s="31"/>
      <c r="J579" s="36"/>
      <c r="L579" s="31"/>
      <c r="M579" s="36"/>
    </row>
    <row r="580" ht="14.25" customHeight="1">
      <c r="H580" s="79"/>
      <c r="I580" s="31"/>
      <c r="J580" s="36"/>
      <c r="L580" s="31"/>
      <c r="M580" s="36"/>
    </row>
    <row r="581" ht="14.25" customHeight="1">
      <c r="H581" s="79"/>
      <c r="I581" s="31"/>
      <c r="J581" s="36"/>
      <c r="L581" s="31"/>
      <c r="M581" s="36"/>
    </row>
    <row r="582" ht="14.25" customHeight="1">
      <c r="H582" s="79"/>
      <c r="I582" s="31"/>
      <c r="J582" s="36"/>
      <c r="L582" s="31"/>
      <c r="M582" s="36"/>
    </row>
    <row r="583" ht="14.25" customHeight="1">
      <c r="H583" s="79"/>
      <c r="I583" s="31"/>
      <c r="J583" s="36"/>
      <c r="L583" s="31"/>
      <c r="M583" s="36"/>
    </row>
    <row r="584" ht="14.25" customHeight="1">
      <c r="H584" s="79"/>
      <c r="I584" s="31"/>
      <c r="J584" s="36"/>
      <c r="L584" s="31"/>
      <c r="M584" s="36"/>
    </row>
    <row r="585" ht="14.25" customHeight="1">
      <c r="H585" s="79"/>
      <c r="I585" s="31"/>
      <c r="J585" s="36"/>
      <c r="L585" s="31"/>
      <c r="M585" s="36"/>
    </row>
    <row r="586" ht="14.25" customHeight="1">
      <c r="H586" s="79"/>
      <c r="I586" s="31"/>
      <c r="J586" s="36"/>
      <c r="L586" s="31"/>
      <c r="M586" s="36"/>
    </row>
    <row r="587" ht="14.25" customHeight="1">
      <c r="H587" s="79"/>
      <c r="I587" s="31"/>
      <c r="J587" s="36"/>
      <c r="L587" s="31"/>
      <c r="M587" s="36"/>
    </row>
    <row r="588" ht="14.25" customHeight="1">
      <c r="H588" s="79"/>
      <c r="I588" s="31"/>
      <c r="J588" s="36"/>
      <c r="L588" s="31"/>
      <c r="M588" s="36"/>
    </row>
    <row r="589" ht="14.25" customHeight="1">
      <c r="H589" s="79"/>
      <c r="I589" s="31"/>
      <c r="J589" s="36"/>
      <c r="L589" s="31"/>
      <c r="M589" s="36"/>
    </row>
    <row r="590" ht="14.25" customHeight="1">
      <c r="H590" s="79"/>
      <c r="I590" s="31"/>
      <c r="J590" s="36"/>
      <c r="L590" s="31"/>
      <c r="M590" s="36"/>
    </row>
    <row r="591" ht="14.25" customHeight="1">
      <c r="H591" s="79"/>
      <c r="I591" s="31"/>
      <c r="J591" s="36"/>
      <c r="L591" s="31"/>
      <c r="M591" s="36"/>
    </row>
    <row r="592" ht="14.25" customHeight="1">
      <c r="H592" s="79"/>
      <c r="I592" s="31"/>
      <c r="J592" s="36"/>
      <c r="L592" s="31"/>
      <c r="M592" s="36"/>
    </row>
    <row r="593" ht="14.25" customHeight="1">
      <c r="H593" s="79"/>
      <c r="I593" s="31"/>
      <c r="J593" s="36"/>
      <c r="L593" s="31"/>
      <c r="M593" s="36"/>
    </row>
    <row r="594" ht="14.25" customHeight="1">
      <c r="H594" s="79"/>
      <c r="I594" s="31"/>
      <c r="J594" s="36"/>
      <c r="L594" s="31"/>
      <c r="M594" s="36"/>
    </row>
    <row r="595" ht="14.25" customHeight="1">
      <c r="H595" s="79"/>
      <c r="I595" s="31"/>
      <c r="J595" s="36"/>
      <c r="L595" s="31"/>
      <c r="M595" s="36"/>
    </row>
    <row r="596" ht="14.25" customHeight="1">
      <c r="H596" s="79"/>
      <c r="I596" s="31"/>
      <c r="J596" s="36"/>
      <c r="L596" s="31"/>
      <c r="M596" s="36"/>
    </row>
    <row r="597" ht="14.25" customHeight="1">
      <c r="H597" s="79"/>
      <c r="I597" s="31"/>
      <c r="J597" s="36"/>
      <c r="L597" s="31"/>
      <c r="M597" s="36"/>
    </row>
    <row r="598" ht="14.25" customHeight="1">
      <c r="H598" s="79"/>
      <c r="I598" s="31"/>
      <c r="J598" s="36"/>
      <c r="L598" s="31"/>
      <c r="M598" s="36"/>
    </row>
    <row r="599" ht="14.25" customHeight="1">
      <c r="H599" s="79"/>
      <c r="I599" s="31"/>
      <c r="J599" s="36"/>
      <c r="L599" s="31"/>
      <c r="M599" s="36"/>
    </row>
    <row r="600" ht="14.25" customHeight="1">
      <c r="H600" s="79"/>
      <c r="I600" s="31"/>
      <c r="J600" s="36"/>
      <c r="L600" s="31"/>
      <c r="M600" s="36"/>
    </row>
    <row r="601" ht="14.25" customHeight="1">
      <c r="H601" s="79"/>
      <c r="I601" s="31"/>
      <c r="J601" s="36"/>
      <c r="L601" s="31"/>
      <c r="M601" s="36"/>
    </row>
    <row r="602" ht="14.25" customHeight="1">
      <c r="H602" s="79"/>
      <c r="I602" s="31"/>
      <c r="J602" s="36"/>
      <c r="L602" s="31"/>
      <c r="M602" s="36"/>
    </row>
    <row r="603" ht="14.25" customHeight="1">
      <c r="H603" s="79"/>
      <c r="I603" s="31"/>
      <c r="J603" s="36"/>
      <c r="L603" s="31"/>
      <c r="M603" s="36"/>
    </row>
    <row r="604" ht="14.25" customHeight="1">
      <c r="H604" s="79"/>
      <c r="I604" s="31"/>
      <c r="J604" s="36"/>
      <c r="L604" s="31"/>
      <c r="M604" s="36"/>
    </row>
    <row r="605" ht="14.25" customHeight="1">
      <c r="H605" s="79"/>
      <c r="I605" s="31"/>
      <c r="J605" s="36"/>
      <c r="L605" s="31"/>
      <c r="M605" s="36"/>
    </row>
    <row r="606" ht="14.25" customHeight="1">
      <c r="H606" s="79"/>
      <c r="I606" s="31"/>
      <c r="J606" s="36"/>
      <c r="L606" s="31"/>
      <c r="M606" s="36"/>
    </row>
    <row r="607" ht="14.25" customHeight="1">
      <c r="H607" s="79"/>
      <c r="I607" s="31"/>
      <c r="J607" s="36"/>
      <c r="L607" s="31"/>
      <c r="M607" s="36"/>
    </row>
    <row r="608" ht="14.25" customHeight="1">
      <c r="H608" s="79"/>
      <c r="I608" s="31"/>
      <c r="J608" s="36"/>
      <c r="L608" s="31"/>
      <c r="M608" s="36"/>
    </row>
    <row r="609" ht="14.25" customHeight="1">
      <c r="H609" s="79"/>
      <c r="I609" s="31"/>
      <c r="J609" s="36"/>
      <c r="L609" s="31"/>
      <c r="M609" s="36"/>
    </row>
    <row r="610" ht="14.25" customHeight="1">
      <c r="H610" s="79"/>
      <c r="I610" s="31"/>
      <c r="J610" s="36"/>
      <c r="L610" s="31"/>
      <c r="M610" s="36"/>
    </row>
    <row r="611" ht="14.25" customHeight="1">
      <c r="H611" s="79"/>
      <c r="I611" s="31"/>
      <c r="J611" s="36"/>
      <c r="L611" s="31"/>
      <c r="M611" s="36"/>
    </row>
    <row r="612" ht="14.25" customHeight="1">
      <c r="H612" s="79"/>
      <c r="I612" s="31"/>
      <c r="J612" s="36"/>
      <c r="L612" s="31"/>
      <c r="M612" s="36"/>
    </row>
    <row r="613" ht="14.25" customHeight="1">
      <c r="H613" s="79"/>
      <c r="I613" s="31"/>
      <c r="J613" s="36"/>
      <c r="L613" s="31"/>
      <c r="M613" s="36"/>
    </row>
    <row r="614" ht="14.25" customHeight="1">
      <c r="H614" s="79"/>
      <c r="I614" s="31"/>
      <c r="J614" s="36"/>
      <c r="L614" s="31"/>
      <c r="M614" s="36"/>
    </row>
    <row r="615" ht="14.25" customHeight="1">
      <c r="H615" s="79"/>
      <c r="I615" s="31"/>
      <c r="J615" s="36"/>
      <c r="L615" s="31"/>
      <c r="M615" s="36"/>
    </row>
    <row r="616" ht="14.25" customHeight="1">
      <c r="H616" s="79"/>
      <c r="I616" s="31"/>
      <c r="J616" s="36"/>
      <c r="L616" s="31"/>
      <c r="M616" s="36"/>
    </row>
    <row r="617" ht="14.25" customHeight="1">
      <c r="H617" s="79"/>
      <c r="I617" s="31"/>
      <c r="J617" s="36"/>
      <c r="L617" s="31"/>
      <c r="M617" s="36"/>
    </row>
    <row r="618" ht="14.25" customHeight="1">
      <c r="H618" s="79"/>
      <c r="I618" s="31"/>
      <c r="J618" s="36"/>
      <c r="L618" s="31"/>
      <c r="M618" s="36"/>
    </row>
    <row r="619" ht="14.25" customHeight="1">
      <c r="H619" s="79"/>
      <c r="I619" s="31"/>
      <c r="J619" s="36"/>
      <c r="L619" s="31"/>
      <c r="M619" s="36"/>
    </row>
    <row r="620" ht="14.25" customHeight="1">
      <c r="H620" s="79"/>
      <c r="I620" s="31"/>
      <c r="J620" s="36"/>
      <c r="L620" s="31"/>
      <c r="M620" s="36"/>
    </row>
    <row r="621" ht="14.25" customHeight="1">
      <c r="H621" s="79"/>
      <c r="I621" s="31"/>
      <c r="J621" s="36"/>
      <c r="L621" s="31"/>
      <c r="M621" s="36"/>
    </row>
    <row r="622" ht="14.25" customHeight="1">
      <c r="H622" s="79"/>
      <c r="I622" s="31"/>
      <c r="J622" s="36"/>
      <c r="L622" s="31"/>
      <c r="M622" s="36"/>
    </row>
    <row r="623" ht="14.25" customHeight="1">
      <c r="H623" s="79"/>
      <c r="I623" s="31"/>
      <c r="J623" s="36"/>
      <c r="L623" s="31"/>
      <c r="M623" s="36"/>
    </row>
    <row r="624" ht="14.25" customHeight="1">
      <c r="H624" s="79"/>
      <c r="I624" s="31"/>
      <c r="J624" s="36"/>
      <c r="L624" s="31"/>
      <c r="M624" s="36"/>
    </row>
    <row r="625" ht="14.25" customHeight="1">
      <c r="H625" s="79"/>
      <c r="I625" s="31"/>
      <c r="J625" s="36"/>
      <c r="L625" s="31"/>
      <c r="M625" s="36"/>
    </row>
    <row r="626" ht="14.25" customHeight="1">
      <c r="H626" s="79"/>
      <c r="I626" s="31"/>
      <c r="J626" s="36"/>
      <c r="L626" s="31"/>
      <c r="M626" s="36"/>
    </row>
    <row r="627" ht="14.25" customHeight="1">
      <c r="H627" s="79"/>
      <c r="I627" s="31"/>
      <c r="J627" s="36"/>
      <c r="L627" s="31"/>
      <c r="M627" s="36"/>
    </row>
    <row r="628" ht="14.25" customHeight="1">
      <c r="H628" s="79"/>
      <c r="I628" s="31"/>
      <c r="J628" s="36"/>
      <c r="L628" s="31"/>
      <c r="M628" s="36"/>
    </row>
    <row r="629" ht="14.25" customHeight="1">
      <c r="H629" s="79"/>
      <c r="I629" s="31"/>
      <c r="J629" s="36"/>
      <c r="L629" s="31"/>
      <c r="M629" s="36"/>
    </row>
    <row r="630" ht="14.25" customHeight="1">
      <c r="H630" s="79"/>
      <c r="I630" s="31"/>
      <c r="J630" s="36"/>
      <c r="L630" s="31"/>
      <c r="M630" s="36"/>
    </row>
    <row r="631" ht="14.25" customHeight="1">
      <c r="H631" s="79"/>
      <c r="I631" s="31"/>
      <c r="J631" s="36"/>
      <c r="L631" s="31"/>
      <c r="M631" s="36"/>
    </row>
    <row r="632" ht="14.25" customHeight="1">
      <c r="H632" s="79"/>
      <c r="I632" s="31"/>
      <c r="J632" s="36"/>
      <c r="L632" s="31"/>
      <c r="M632" s="36"/>
    </row>
    <row r="633" ht="14.25" customHeight="1">
      <c r="H633" s="79"/>
      <c r="I633" s="31"/>
      <c r="J633" s="36"/>
      <c r="L633" s="31"/>
      <c r="M633" s="36"/>
    </row>
    <row r="634" ht="14.25" customHeight="1">
      <c r="H634" s="79"/>
      <c r="I634" s="31"/>
      <c r="J634" s="36"/>
      <c r="L634" s="31"/>
      <c r="M634" s="36"/>
    </row>
    <row r="635" ht="14.25" customHeight="1">
      <c r="H635" s="79"/>
      <c r="I635" s="31"/>
      <c r="J635" s="36"/>
      <c r="L635" s="31"/>
      <c r="M635" s="36"/>
    </row>
    <row r="636" ht="14.25" customHeight="1">
      <c r="H636" s="79"/>
      <c r="I636" s="31"/>
      <c r="J636" s="36"/>
      <c r="L636" s="31"/>
      <c r="M636" s="36"/>
    </row>
    <row r="637" ht="14.25" customHeight="1">
      <c r="H637" s="79"/>
      <c r="I637" s="31"/>
      <c r="J637" s="36"/>
      <c r="L637" s="31"/>
      <c r="M637" s="36"/>
    </row>
    <row r="638" ht="14.25" customHeight="1">
      <c r="H638" s="79"/>
      <c r="I638" s="31"/>
      <c r="J638" s="36"/>
      <c r="L638" s="31"/>
      <c r="M638" s="36"/>
    </row>
    <row r="639" ht="14.25" customHeight="1">
      <c r="H639" s="79"/>
      <c r="I639" s="31"/>
      <c r="J639" s="36"/>
      <c r="L639" s="31"/>
      <c r="M639" s="36"/>
    </row>
    <row r="640" ht="14.25" customHeight="1">
      <c r="H640" s="79"/>
      <c r="I640" s="31"/>
      <c r="J640" s="36"/>
      <c r="L640" s="31"/>
      <c r="M640" s="36"/>
    </row>
    <row r="641" ht="14.25" customHeight="1">
      <c r="H641" s="79"/>
      <c r="I641" s="31"/>
      <c r="J641" s="36"/>
      <c r="L641" s="31"/>
      <c r="M641" s="36"/>
    </row>
    <row r="642" ht="14.25" customHeight="1">
      <c r="H642" s="79"/>
      <c r="I642" s="31"/>
      <c r="J642" s="36"/>
      <c r="L642" s="31"/>
      <c r="M642" s="36"/>
    </row>
    <row r="643" ht="14.25" customHeight="1">
      <c r="H643" s="79"/>
      <c r="I643" s="31"/>
      <c r="J643" s="36"/>
      <c r="L643" s="31"/>
      <c r="M643" s="36"/>
    </row>
    <row r="644" ht="14.25" customHeight="1">
      <c r="H644" s="79"/>
      <c r="I644" s="31"/>
      <c r="J644" s="36"/>
      <c r="L644" s="31"/>
      <c r="M644" s="36"/>
    </row>
    <row r="645" ht="14.25" customHeight="1">
      <c r="H645" s="79"/>
      <c r="I645" s="31"/>
      <c r="J645" s="36"/>
      <c r="L645" s="31"/>
      <c r="M645" s="36"/>
    </row>
    <row r="646" ht="14.25" customHeight="1">
      <c r="H646" s="79"/>
      <c r="I646" s="31"/>
      <c r="J646" s="36"/>
      <c r="L646" s="31"/>
      <c r="M646" s="36"/>
    </row>
    <row r="647" ht="14.25" customHeight="1">
      <c r="H647" s="79"/>
      <c r="I647" s="31"/>
      <c r="J647" s="36"/>
      <c r="L647" s="31"/>
      <c r="M647" s="36"/>
    </row>
    <row r="648" ht="14.25" customHeight="1">
      <c r="H648" s="79"/>
      <c r="I648" s="31"/>
      <c r="J648" s="36"/>
      <c r="L648" s="31"/>
      <c r="M648" s="36"/>
    </row>
    <row r="649" ht="14.25" customHeight="1">
      <c r="H649" s="79"/>
      <c r="I649" s="31"/>
      <c r="J649" s="36"/>
      <c r="L649" s="31"/>
      <c r="M649" s="36"/>
    </row>
    <row r="650" ht="14.25" customHeight="1">
      <c r="H650" s="79"/>
      <c r="I650" s="31"/>
      <c r="J650" s="36"/>
      <c r="L650" s="31"/>
      <c r="M650" s="36"/>
    </row>
    <row r="651" ht="14.25" customHeight="1">
      <c r="H651" s="79"/>
      <c r="I651" s="31"/>
      <c r="J651" s="36"/>
      <c r="L651" s="31"/>
      <c r="M651" s="36"/>
    </row>
    <row r="652" ht="14.25" customHeight="1">
      <c r="H652" s="79"/>
      <c r="I652" s="31"/>
      <c r="J652" s="36"/>
      <c r="L652" s="31"/>
      <c r="M652" s="36"/>
    </row>
    <row r="653" ht="14.25" customHeight="1">
      <c r="H653" s="79"/>
      <c r="I653" s="31"/>
      <c r="J653" s="36"/>
      <c r="L653" s="31"/>
      <c r="M653" s="36"/>
    </row>
    <row r="654" ht="14.25" customHeight="1">
      <c r="H654" s="79"/>
      <c r="I654" s="31"/>
      <c r="J654" s="36"/>
      <c r="L654" s="31"/>
      <c r="M654" s="36"/>
    </row>
    <row r="655" ht="14.25" customHeight="1">
      <c r="H655" s="79"/>
      <c r="I655" s="31"/>
      <c r="J655" s="36"/>
      <c r="L655" s="31"/>
      <c r="M655" s="36"/>
    </row>
    <row r="656" ht="14.25" customHeight="1">
      <c r="H656" s="79"/>
      <c r="I656" s="31"/>
      <c r="J656" s="36"/>
      <c r="L656" s="31"/>
      <c r="M656" s="36"/>
    </row>
    <row r="657" ht="14.25" customHeight="1">
      <c r="H657" s="79"/>
      <c r="I657" s="31"/>
      <c r="J657" s="36"/>
      <c r="L657" s="31"/>
      <c r="M657" s="36"/>
    </row>
    <row r="658" ht="14.25" customHeight="1">
      <c r="H658" s="79"/>
      <c r="I658" s="31"/>
      <c r="J658" s="36"/>
      <c r="L658" s="31"/>
      <c r="M658" s="36"/>
    </row>
    <row r="659" ht="14.25" customHeight="1">
      <c r="H659" s="79"/>
      <c r="I659" s="31"/>
      <c r="J659" s="36"/>
      <c r="L659" s="31"/>
      <c r="M659" s="36"/>
    </row>
    <row r="660" ht="14.25" customHeight="1">
      <c r="H660" s="79"/>
      <c r="I660" s="31"/>
      <c r="J660" s="36"/>
      <c r="L660" s="31"/>
      <c r="M660" s="36"/>
    </row>
    <row r="661" ht="14.25" customHeight="1">
      <c r="H661" s="79"/>
      <c r="I661" s="31"/>
      <c r="J661" s="36"/>
      <c r="L661" s="31"/>
      <c r="M661" s="36"/>
    </row>
    <row r="662" ht="14.25" customHeight="1">
      <c r="H662" s="79"/>
      <c r="I662" s="31"/>
      <c r="J662" s="36"/>
      <c r="L662" s="31"/>
      <c r="M662" s="36"/>
    </row>
    <row r="663" ht="14.25" customHeight="1">
      <c r="H663" s="79"/>
      <c r="I663" s="31"/>
      <c r="J663" s="36"/>
      <c r="L663" s="31"/>
      <c r="M663" s="36"/>
    </row>
    <row r="664" ht="14.25" customHeight="1">
      <c r="H664" s="79"/>
      <c r="I664" s="31"/>
      <c r="J664" s="36"/>
      <c r="L664" s="31"/>
      <c r="M664" s="36"/>
    </row>
    <row r="665" ht="14.25" customHeight="1">
      <c r="H665" s="79"/>
      <c r="I665" s="31"/>
      <c r="J665" s="36"/>
      <c r="L665" s="31"/>
      <c r="M665" s="36"/>
    </row>
    <row r="666" ht="14.25" customHeight="1">
      <c r="H666" s="79"/>
      <c r="I666" s="31"/>
      <c r="J666" s="36"/>
      <c r="L666" s="31"/>
      <c r="M666" s="36"/>
    </row>
    <row r="667" ht="14.25" customHeight="1">
      <c r="H667" s="79"/>
      <c r="I667" s="31"/>
      <c r="J667" s="36"/>
      <c r="L667" s="31"/>
      <c r="M667" s="36"/>
    </row>
    <row r="668" ht="14.25" customHeight="1">
      <c r="H668" s="79"/>
      <c r="I668" s="31"/>
      <c r="J668" s="36"/>
      <c r="L668" s="31"/>
      <c r="M668" s="36"/>
    </row>
    <row r="669" ht="14.25" customHeight="1">
      <c r="H669" s="79"/>
      <c r="I669" s="31"/>
      <c r="J669" s="36"/>
      <c r="L669" s="31"/>
      <c r="M669" s="36"/>
    </row>
    <row r="670" ht="14.25" customHeight="1">
      <c r="H670" s="79"/>
      <c r="I670" s="31"/>
      <c r="J670" s="36"/>
      <c r="L670" s="31"/>
      <c r="M670" s="36"/>
    </row>
    <row r="671" ht="14.25" customHeight="1">
      <c r="H671" s="79"/>
      <c r="I671" s="31"/>
      <c r="J671" s="36"/>
      <c r="L671" s="31"/>
      <c r="M671" s="36"/>
    </row>
    <row r="672" ht="14.25" customHeight="1">
      <c r="H672" s="79"/>
      <c r="I672" s="31"/>
      <c r="J672" s="36"/>
      <c r="L672" s="31"/>
      <c r="M672" s="36"/>
    </row>
    <row r="673" ht="14.25" customHeight="1">
      <c r="H673" s="79"/>
      <c r="I673" s="31"/>
      <c r="J673" s="36"/>
      <c r="L673" s="31"/>
      <c r="M673" s="36"/>
    </row>
    <row r="674" ht="14.25" customHeight="1">
      <c r="H674" s="79"/>
      <c r="I674" s="31"/>
      <c r="J674" s="36"/>
      <c r="L674" s="31"/>
      <c r="M674" s="36"/>
    </row>
    <row r="675" ht="14.25" customHeight="1">
      <c r="H675" s="79"/>
      <c r="I675" s="31"/>
      <c r="J675" s="36"/>
      <c r="L675" s="31"/>
      <c r="M675" s="36"/>
    </row>
    <row r="676" ht="14.25" customHeight="1">
      <c r="H676" s="79"/>
      <c r="I676" s="31"/>
      <c r="J676" s="36"/>
      <c r="L676" s="31"/>
      <c r="M676" s="36"/>
    </row>
    <row r="677" ht="14.25" customHeight="1">
      <c r="H677" s="79"/>
      <c r="I677" s="31"/>
      <c r="J677" s="36"/>
      <c r="L677" s="31"/>
      <c r="M677" s="36"/>
    </row>
    <row r="678" ht="14.25" customHeight="1">
      <c r="H678" s="79"/>
      <c r="I678" s="31"/>
      <c r="J678" s="36"/>
      <c r="L678" s="31"/>
      <c r="M678" s="36"/>
    </row>
    <row r="679" ht="14.25" customHeight="1">
      <c r="H679" s="79"/>
      <c r="I679" s="31"/>
      <c r="J679" s="36"/>
      <c r="L679" s="31"/>
      <c r="M679" s="36"/>
    </row>
    <row r="680" ht="14.25" customHeight="1">
      <c r="H680" s="79"/>
      <c r="I680" s="31"/>
      <c r="J680" s="36"/>
      <c r="L680" s="31"/>
      <c r="M680" s="36"/>
    </row>
    <row r="681" ht="14.25" customHeight="1">
      <c r="H681" s="79"/>
      <c r="I681" s="31"/>
      <c r="J681" s="36"/>
      <c r="L681" s="31"/>
      <c r="M681" s="36"/>
    </row>
    <row r="682" ht="14.25" customHeight="1">
      <c r="H682" s="79"/>
      <c r="I682" s="31"/>
      <c r="J682" s="36"/>
      <c r="L682" s="31"/>
      <c r="M682" s="36"/>
    </row>
    <row r="683" ht="14.25" customHeight="1">
      <c r="H683" s="79"/>
      <c r="I683" s="31"/>
      <c r="J683" s="36"/>
      <c r="L683" s="31"/>
      <c r="M683" s="36"/>
    </row>
    <row r="684" ht="14.25" customHeight="1">
      <c r="H684" s="79"/>
      <c r="I684" s="31"/>
      <c r="J684" s="36"/>
      <c r="L684" s="31"/>
      <c r="M684" s="36"/>
    </row>
    <row r="685" ht="14.25" customHeight="1">
      <c r="H685" s="79"/>
      <c r="I685" s="31"/>
      <c r="J685" s="36"/>
      <c r="L685" s="31"/>
      <c r="M685" s="36"/>
    </row>
    <row r="686" ht="14.25" customHeight="1">
      <c r="H686" s="79"/>
      <c r="I686" s="31"/>
      <c r="J686" s="36"/>
      <c r="L686" s="31"/>
      <c r="M686" s="36"/>
    </row>
    <row r="687" ht="14.25" customHeight="1">
      <c r="H687" s="79"/>
      <c r="I687" s="31"/>
      <c r="J687" s="36"/>
      <c r="L687" s="31"/>
      <c r="M687" s="36"/>
    </row>
    <row r="688" ht="14.25" customHeight="1">
      <c r="H688" s="79"/>
      <c r="I688" s="31"/>
      <c r="J688" s="36"/>
      <c r="L688" s="31"/>
      <c r="M688" s="36"/>
    </row>
    <row r="689" ht="14.25" customHeight="1">
      <c r="H689" s="79"/>
      <c r="I689" s="31"/>
      <c r="J689" s="36"/>
      <c r="L689" s="31"/>
      <c r="M689" s="36"/>
    </row>
    <row r="690" ht="14.25" customHeight="1">
      <c r="H690" s="79"/>
      <c r="I690" s="31"/>
      <c r="J690" s="36"/>
      <c r="L690" s="31"/>
      <c r="M690" s="36"/>
    </row>
    <row r="691" ht="14.25" customHeight="1">
      <c r="H691" s="79"/>
      <c r="I691" s="31"/>
      <c r="J691" s="36"/>
      <c r="L691" s="31"/>
      <c r="M691" s="36"/>
    </row>
    <row r="692" ht="14.25" customHeight="1">
      <c r="H692" s="79"/>
      <c r="I692" s="31"/>
      <c r="J692" s="36"/>
      <c r="L692" s="31"/>
      <c r="M692" s="36"/>
    </row>
    <row r="693" ht="14.25" customHeight="1">
      <c r="H693" s="79"/>
      <c r="I693" s="31"/>
      <c r="J693" s="36"/>
      <c r="L693" s="31"/>
      <c r="M693" s="36"/>
    </row>
    <row r="694" ht="14.25" customHeight="1">
      <c r="H694" s="79"/>
      <c r="I694" s="31"/>
      <c r="J694" s="36"/>
      <c r="L694" s="31"/>
      <c r="M694" s="36"/>
    </row>
    <row r="695" ht="14.25" customHeight="1">
      <c r="H695" s="79"/>
      <c r="I695" s="31"/>
      <c r="J695" s="36"/>
      <c r="L695" s="31"/>
      <c r="M695" s="36"/>
    </row>
    <row r="696" ht="14.25" customHeight="1">
      <c r="H696" s="79"/>
      <c r="I696" s="31"/>
      <c r="J696" s="36"/>
      <c r="L696" s="31"/>
      <c r="M696" s="36"/>
    </row>
    <row r="697" ht="14.25" customHeight="1">
      <c r="H697" s="79"/>
      <c r="I697" s="31"/>
      <c r="J697" s="36"/>
      <c r="L697" s="31"/>
      <c r="M697" s="36"/>
    </row>
    <row r="698" ht="14.25" customHeight="1">
      <c r="H698" s="79"/>
      <c r="I698" s="31"/>
      <c r="J698" s="36"/>
      <c r="L698" s="31"/>
      <c r="M698" s="36"/>
    </row>
    <row r="699" ht="14.25" customHeight="1">
      <c r="H699" s="79"/>
      <c r="I699" s="31"/>
      <c r="J699" s="36"/>
      <c r="L699" s="31"/>
      <c r="M699" s="36"/>
    </row>
    <row r="700" ht="14.25" customHeight="1">
      <c r="H700" s="79"/>
      <c r="I700" s="31"/>
      <c r="J700" s="36"/>
      <c r="L700" s="31"/>
      <c r="M700" s="36"/>
    </row>
    <row r="701" ht="14.25" customHeight="1">
      <c r="H701" s="79"/>
      <c r="I701" s="31"/>
      <c r="J701" s="36"/>
      <c r="L701" s="31"/>
      <c r="M701" s="36"/>
    </row>
    <row r="702" ht="14.25" customHeight="1">
      <c r="H702" s="79"/>
      <c r="I702" s="31"/>
      <c r="J702" s="36"/>
      <c r="L702" s="31"/>
      <c r="M702" s="36"/>
    </row>
    <row r="703" ht="14.25" customHeight="1">
      <c r="H703" s="79"/>
      <c r="I703" s="31"/>
      <c r="J703" s="36"/>
      <c r="L703" s="31"/>
      <c r="M703" s="36"/>
    </row>
    <row r="704" ht="14.25" customHeight="1">
      <c r="H704" s="79"/>
      <c r="I704" s="31"/>
      <c r="J704" s="36"/>
      <c r="L704" s="31"/>
      <c r="M704" s="36"/>
    </row>
    <row r="705" ht="14.25" customHeight="1">
      <c r="H705" s="79"/>
      <c r="I705" s="31"/>
      <c r="J705" s="36"/>
      <c r="L705" s="31"/>
      <c r="M705" s="36"/>
    </row>
    <row r="706" ht="14.25" customHeight="1">
      <c r="H706" s="79"/>
      <c r="I706" s="31"/>
      <c r="J706" s="36"/>
      <c r="L706" s="31"/>
      <c r="M706" s="36"/>
    </row>
    <row r="707" ht="14.25" customHeight="1">
      <c r="H707" s="79"/>
      <c r="I707" s="31"/>
      <c r="J707" s="36"/>
      <c r="L707" s="31"/>
      <c r="M707" s="36"/>
    </row>
    <row r="708" ht="14.25" customHeight="1">
      <c r="H708" s="79"/>
      <c r="I708" s="31"/>
      <c r="J708" s="36"/>
      <c r="L708" s="31"/>
      <c r="M708" s="36"/>
    </row>
    <row r="709" ht="14.25" customHeight="1">
      <c r="H709" s="79"/>
      <c r="I709" s="31"/>
      <c r="J709" s="36"/>
      <c r="L709" s="31"/>
      <c r="M709" s="36"/>
    </row>
    <row r="710" ht="14.25" customHeight="1">
      <c r="H710" s="79"/>
      <c r="I710" s="31"/>
      <c r="J710" s="36"/>
      <c r="L710" s="31"/>
      <c r="M710" s="36"/>
    </row>
    <row r="711" ht="14.25" customHeight="1">
      <c r="H711" s="79"/>
      <c r="I711" s="31"/>
      <c r="J711" s="36"/>
      <c r="L711" s="31"/>
      <c r="M711" s="36"/>
    </row>
    <row r="712" ht="14.25" customHeight="1">
      <c r="H712" s="79"/>
      <c r="I712" s="31"/>
      <c r="J712" s="36"/>
      <c r="L712" s="31"/>
      <c r="M712" s="36"/>
    </row>
    <row r="713" ht="14.25" customHeight="1">
      <c r="H713" s="79"/>
      <c r="I713" s="31"/>
      <c r="J713" s="36"/>
      <c r="L713" s="31"/>
      <c r="M713" s="36"/>
    </row>
    <row r="714" ht="14.25" customHeight="1">
      <c r="H714" s="79"/>
      <c r="I714" s="31"/>
      <c r="J714" s="36"/>
      <c r="L714" s="31"/>
      <c r="M714" s="36"/>
    </row>
    <row r="715" ht="14.25" customHeight="1">
      <c r="H715" s="79"/>
      <c r="I715" s="31"/>
      <c r="J715" s="36"/>
      <c r="L715" s="31"/>
      <c r="M715" s="36"/>
    </row>
    <row r="716" ht="14.25" customHeight="1">
      <c r="H716" s="79"/>
      <c r="I716" s="31"/>
      <c r="J716" s="36"/>
      <c r="L716" s="31"/>
      <c r="M716" s="36"/>
    </row>
    <row r="717" ht="14.25" customHeight="1">
      <c r="H717" s="79"/>
      <c r="I717" s="31"/>
      <c r="J717" s="36"/>
      <c r="L717" s="31"/>
      <c r="M717" s="36"/>
    </row>
    <row r="718" ht="14.25" customHeight="1">
      <c r="H718" s="79"/>
      <c r="I718" s="31"/>
      <c r="J718" s="36"/>
      <c r="L718" s="31"/>
      <c r="M718" s="36"/>
    </row>
    <row r="719" ht="14.25" customHeight="1">
      <c r="H719" s="79"/>
      <c r="I719" s="31"/>
      <c r="J719" s="36"/>
      <c r="L719" s="31"/>
      <c r="M719" s="36"/>
    </row>
    <row r="720" ht="14.25" customHeight="1">
      <c r="H720" s="79"/>
      <c r="I720" s="31"/>
      <c r="J720" s="36"/>
      <c r="L720" s="31"/>
      <c r="M720" s="36"/>
    </row>
    <row r="721" ht="14.25" customHeight="1">
      <c r="H721" s="79"/>
      <c r="I721" s="31"/>
      <c r="J721" s="36"/>
      <c r="L721" s="31"/>
      <c r="M721" s="36"/>
    </row>
    <row r="722" ht="14.25" customHeight="1">
      <c r="H722" s="79"/>
      <c r="I722" s="31"/>
      <c r="J722" s="36"/>
      <c r="L722" s="31"/>
      <c r="M722" s="36"/>
    </row>
    <row r="723" ht="14.25" customHeight="1">
      <c r="H723" s="79"/>
      <c r="I723" s="31"/>
      <c r="J723" s="36"/>
      <c r="L723" s="31"/>
      <c r="M723" s="36"/>
    </row>
    <row r="724" ht="14.25" customHeight="1">
      <c r="H724" s="79"/>
      <c r="I724" s="31"/>
      <c r="J724" s="36"/>
      <c r="L724" s="31"/>
      <c r="M724" s="36"/>
    </row>
    <row r="725" ht="14.25" customHeight="1">
      <c r="H725" s="79"/>
      <c r="I725" s="31"/>
      <c r="J725" s="36"/>
      <c r="L725" s="31"/>
      <c r="M725" s="36"/>
    </row>
    <row r="726" ht="14.25" customHeight="1">
      <c r="H726" s="79"/>
      <c r="I726" s="31"/>
      <c r="J726" s="36"/>
      <c r="L726" s="31"/>
      <c r="M726" s="36"/>
    </row>
    <row r="727" ht="14.25" customHeight="1">
      <c r="H727" s="79"/>
      <c r="I727" s="31"/>
      <c r="J727" s="36"/>
      <c r="L727" s="31"/>
      <c r="M727" s="36"/>
    </row>
    <row r="728" ht="14.25" customHeight="1">
      <c r="H728" s="79"/>
      <c r="I728" s="31"/>
      <c r="J728" s="36"/>
      <c r="L728" s="31"/>
      <c r="M728" s="36"/>
    </row>
    <row r="729" ht="14.25" customHeight="1">
      <c r="H729" s="79"/>
      <c r="I729" s="31"/>
      <c r="J729" s="36"/>
      <c r="L729" s="31"/>
      <c r="M729" s="36"/>
    </row>
    <row r="730" ht="14.25" customHeight="1">
      <c r="H730" s="79"/>
      <c r="I730" s="31"/>
      <c r="J730" s="36"/>
      <c r="L730" s="31"/>
      <c r="M730" s="36"/>
    </row>
    <row r="731" ht="14.25" customHeight="1">
      <c r="H731" s="79"/>
      <c r="I731" s="31"/>
      <c r="J731" s="36"/>
      <c r="L731" s="31"/>
      <c r="M731" s="36"/>
    </row>
    <row r="732" ht="14.25" customHeight="1">
      <c r="H732" s="79"/>
      <c r="I732" s="31"/>
      <c r="J732" s="36"/>
      <c r="L732" s="31"/>
      <c r="M732" s="36"/>
    </row>
    <row r="733" ht="14.25" customHeight="1">
      <c r="H733" s="79"/>
      <c r="I733" s="31"/>
      <c r="J733" s="36"/>
      <c r="L733" s="31"/>
      <c r="M733" s="36"/>
    </row>
    <row r="734" ht="14.25" customHeight="1">
      <c r="H734" s="79"/>
      <c r="I734" s="31"/>
      <c r="J734" s="36"/>
      <c r="L734" s="31"/>
      <c r="M734" s="36"/>
    </row>
    <row r="735" ht="14.25" customHeight="1">
      <c r="H735" s="79"/>
      <c r="I735" s="31"/>
      <c r="J735" s="36"/>
      <c r="L735" s="31"/>
      <c r="M735" s="36"/>
    </row>
    <row r="736" ht="14.25" customHeight="1">
      <c r="H736" s="79"/>
      <c r="I736" s="31"/>
      <c r="J736" s="36"/>
      <c r="L736" s="31"/>
      <c r="M736" s="36"/>
    </row>
    <row r="737" ht="14.25" customHeight="1">
      <c r="H737" s="79"/>
      <c r="I737" s="31"/>
      <c r="J737" s="36"/>
      <c r="L737" s="31"/>
      <c r="M737" s="36"/>
    </row>
    <row r="738" ht="14.25" customHeight="1">
      <c r="H738" s="79"/>
      <c r="I738" s="31"/>
      <c r="J738" s="36"/>
      <c r="L738" s="31"/>
      <c r="M738" s="36"/>
    </row>
    <row r="739" ht="14.25" customHeight="1">
      <c r="H739" s="79"/>
      <c r="I739" s="31"/>
      <c r="J739" s="36"/>
      <c r="L739" s="31"/>
      <c r="M739" s="36"/>
    </row>
    <row r="740" ht="14.25" customHeight="1">
      <c r="H740" s="79"/>
      <c r="I740" s="31"/>
      <c r="J740" s="36"/>
      <c r="L740" s="31"/>
      <c r="M740" s="36"/>
    </row>
    <row r="741" ht="14.25" customHeight="1">
      <c r="H741" s="79"/>
      <c r="I741" s="31"/>
      <c r="J741" s="36"/>
      <c r="L741" s="31"/>
      <c r="M741" s="36"/>
    </row>
    <row r="742" ht="14.25" customHeight="1">
      <c r="H742" s="79"/>
      <c r="I742" s="31"/>
      <c r="J742" s="36"/>
      <c r="L742" s="31"/>
      <c r="M742" s="36"/>
    </row>
    <row r="743" ht="14.25" customHeight="1">
      <c r="H743" s="79"/>
      <c r="I743" s="31"/>
      <c r="J743" s="36"/>
      <c r="L743" s="31"/>
      <c r="M743" s="36"/>
    </row>
    <row r="744" ht="14.25" customHeight="1">
      <c r="H744" s="79"/>
      <c r="I744" s="31"/>
      <c r="J744" s="36"/>
      <c r="L744" s="31"/>
      <c r="M744" s="36"/>
    </row>
    <row r="745" ht="14.25" customHeight="1">
      <c r="H745" s="79"/>
      <c r="I745" s="31"/>
      <c r="J745" s="36"/>
      <c r="L745" s="31"/>
      <c r="M745" s="36"/>
    </row>
    <row r="746" ht="14.25" customHeight="1">
      <c r="H746" s="79"/>
      <c r="I746" s="31"/>
      <c r="J746" s="36"/>
      <c r="L746" s="31"/>
      <c r="M746" s="36"/>
    </row>
    <row r="747" ht="14.25" customHeight="1">
      <c r="H747" s="79"/>
      <c r="I747" s="31"/>
      <c r="J747" s="36"/>
      <c r="L747" s="31"/>
      <c r="M747" s="36"/>
    </row>
    <row r="748" ht="14.25" customHeight="1">
      <c r="H748" s="79"/>
      <c r="I748" s="31"/>
      <c r="J748" s="36"/>
      <c r="L748" s="31"/>
      <c r="M748" s="36"/>
    </row>
    <row r="749" ht="14.25" customHeight="1">
      <c r="H749" s="79"/>
      <c r="I749" s="31"/>
      <c r="J749" s="36"/>
      <c r="L749" s="31"/>
      <c r="M749" s="36"/>
    </row>
    <row r="750" ht="14.25" customHeight="1">
      <c r="H750" s="79"/>
      <c r="I750" s="31"/>
      <c r="J750" s="36"/>
      <c r="L750" s="31"/>
      <c r="M750" s="36"/>
    </row>
    <row r="751" ht="14.25" customHeight="1">
      <c r="H751" s="79"/>
      <c r="I751" s="31"/>
      <c r="J751" s="36"/>
      <c r="L751" s="31"/>
      <c r="M751" s="36"/>
    </row>
    <row r="752" ht="14.25" customHeight="1">
      <c r="H752" s="79"/>
      <c r="I752" s="31"/>
      <c r="J752" s="36"/>
      <c r="L752" s="31"/>
      <c r="M752" s="36"/>
    </row>
    <row r="753" ht="14.25" customHeight="1">
      <c r="H753" s="79"/>
      <c r="I753" s="31"/>
      <c r="J753" s="36"/>
      <c r="L753" s="31"/>
      <c r="M753" s="36"/>
    </row>
    <row r="754" ht="14.25" customHeight="1">
      <c r="H754" s="79"/>
      <c r="I754" s="31"/>
      <c r="J754" s="36"/>
      <c r="L754" s="31"/>
      <c r="M754" s="36"/>
    </row>
    <row r="755" ht="14.25" customHeight="1">
      <c r="H755" s="79"/>
      <c r="I755" s="31"/>
      <c r="J755" s="36"/>
      <c r="L755" s="31"/>
      <c r="M755" s="36"/>
    </row>
    <row r="756" ht="14.25" customHeight="1">
      <c r="H756" s="79"/>
      <c r="I756" s="31"/>
      <c r="J756" s="36"/>
      <c r="L756" s="31"/>
      <c r="M756" s="36"/>
    </row>
    <row r="757" ht="14.25" customHeight="1">
      <c r="H757" s="79"/>
      <c r="I757" s="31"/>
      <c r="J757" s="36"/>
      <c r="L757" s="31"/>
      <c r="M757" s="36"/>
    </row>
    <row r="758" ht="14.25" customHeight="1">
      <c r="H758" s="79"/>
      <c r="I758" s="31"/>
      <c r="J758" s="36"/>
      <c r="L758" s="31"/>
      <c r="M758" s="36"/>
    </row>
    <row r="759" ht="14.25" customHeight="1">
      <c r="H759" s="79"/>
      <c r="I759" s="31"/>
      <c r="J759" s="36"/>
      <c r="L759" s="31"/>
      <c r="M759" s="36"/>
    </row>
    <row r="760" ht="14.25" customHeight="1">
      <c r="H760" s="79"/>
      <c r="I760" s="31"/>
      <c r="J760" s="36"/>
      <c r="L760" s="31"/>
      <c r="M760" s="36"/>
    </row>
    <row r="761" ht="14.25" customHeight="1">
      <c r="H761" s="79"/>
      <c r="I761" s="31"/>
      <c r="J761" s="36"/>
      <c r="L761" s="31"/>
      <c r="M761" s="36"/>
    </row>
    <row r="762" ht="14.25" customHeight="1">
      <c r="H762" s="79"/>
      <c r="I762" s="31"/>
      <c r="J762" s="36"/>
      <c r="L762" s="31"/>
      <c r="M762" s="36"/>
    </row>
    <row r="763" ht="14.25" customHeight="1">
      <c r="H763" s="79"/>
      <c r="I763" s="31"/>
      <c r="J763" s="36"/>
      <c r="L763" s="31"/>
      <c r="M763" s="36"/>
    </row>
    <row r="764" ht="14.25" customHeight="1">
      <c r="H764" s="79"/>
      <c r="I764" s="31"/>
      <c r="J764" s="36"/>
      <c r="L764" s="31"/>
      <c r="M764" s="36"/>
    </row>
    <row r="765" ht="14.25" customHeight="1">
      <c r="H765" s="79"/>
      <c r="I765" s="31"/>
      <c r="J765" s="36"/>
      <c r="L765" s="31"/>
      <c r="M765" s="36"/>
    </row>
    <row r="766" ht="14.25" customHeight="1">
      <c r="H766" s="79"/>
      <c r="I766" s="31"/>
      <c r="J766" s="36"/>
      <c r="L766" s="31"/>
      <c r="M766" s="36"/>
    </row>
    <row r="767" ht="14.25" customHeight="1">
      <c r="H767" s="79"/>
      <c r="I767" s="31"/>
      <c r="J767" s="36"/>
      <c r="L767" s="31"/>
      <c r="M767" s="36"/>
    </row>
    <row r="768" ht="14.25" customHeight="1">
      <c r="H768" s="79"/>
      <c r="I768" s="31"/>
      <c r="J768" s="36"/>
      <c r="L768" s="31"/>
      <c r="M768" s="36"/>
    </row>
    <row r="769" ht="14.25" customHeight="1">
      <c r="H769" s="79"/>
      <c r="I769" s="31"/>
      <c r="J769" s="36"/>
      <c r="L769" s="31"/>
      <c r="M769" s="36"/>
    </row>
    <row r="770" ht="14.25" customHeight="1">
      <c r="H770" s="79"/>
      <c r="I770" s="31"/>
      <c r="J770" s="36"/>
      <c r="L770" s="31"/>
      <c r="M770" s="36"/>
    </row>
    <row r="771" ht="14.25" customHeight="1">
      <c r="H771" s="79"/>
      <c r="I771" s="31"/>
      <c r="J771" s="36"/>
      <c r="L771" s="31"/>
      <c r="M771" s="36"/>
    </row>
    <row r="772" ht="14.25" customHeight="1">
      <c r="H772" s="79"/>
      <c r="I772" s="31"/>
      <c r="J772" s="36"/>
      <c r="L772" s="31"/>
      <c r="M772" s="36"/>
    </row>
    <row r="773" ht="14.25" customHeight="1">
      <c r="H773" s="79"/>
      <c r="I773" s="31"/>
      <c r="J773" s="36"/>
      <c r="L773" s="31"/>
      <c r="M773" s="36"/>
    </row>
    <row r="774" ht="14.25" customHeight="1">
      <c r="H774" s="79"/>
      <c r="I774" s="31"/>
      <c r="J774" s="36"/>
      <c r="L774" s="31"/>
      <c r="M774" s="36"/>
    </row>
    <row r="775" ht="14.25" customHeight="1">
      <c r="H775" s="79"/>
      <c r="I775" s="31"/>
      <c r="J775" s="36"/>
      <c r="L775" s="31"/>
      <c r="M775" s="36"/>
    </row>
    <row r="776" ht="14.25" customHeight="1">
      <c r="H776" s="79"/>
      <c r="I776" s="31"/>
      <c r="J776" s="36"/>
      <c r="L776" s="31"/>
      <c r="M776" s="36"/>
    </row>
    <row r="777" ht="14.25" customHeight="1">
      <c r="H777" s="79"/>
      <c r="I777" s="31"/>
      <c r="J777" s="36"/>
      <c r="L777" s="31"/>
      <c r="M777" s="36"/>
    </row>
    <row r="778" ht="14.25" customHeight="1">
      <c r="H778" s="79"/>
      <c r="I778" s="31"/>
      <c r="J778" s="36"/>
      <c r="L778" s="31"/>
      <c r="M778" s="36"/>
    </row>
    <row r="779" ht="14.25" customHeight="1">
      <c r="H779" s="79"/>
      <c r="I779" s="31"/>
      <c r="J779" s="36"/>
      <c r="L779" s="31"/>
      <c r="M779" s="36"/>
    </row>
    <row r="780" ht="14.25" customHeight="1">
      <c r="H780" s="79"/>
      <c r="I780" s="31"/>
      <c r="J780" s="36"/>
      <c r="L780" s="31"/>
      <c r="M780" s="36"/>
    </row>
    <row r="781" ht="14.25" customHeight="1">
      <c r="H781" s="79"/>
      <c r="I781" s="31"/>
      <c r="J781" s="36"/>
      <c r="L781" s="31"/>
      <c r="M781" s="36"/>
    </row>
    <row r="782" ht="14.25" customHeight="1">
      <c r="H782" s="79"/>
      <c r="I782" s="31"/>
      <c r="J782" s="36"/>
      <c r="L782" s="31"/>
      <c r="M782" s="36"/>
    </row>
    <row r="783" ht="14.25" customHeight="1">
      <c r="H783" s="79"/>
      <c r="I783" s="31"/>
      <c r="J783" s="36"/>
      <c r="L783" s="31"/>
      <c r="M783" s="36"/>
    </row>
    <row r="784" ht="14.25" customHeight="1">
      <c r="H784" s="79"/>
      <c r="I784" s="31"/>
      <c r="J784" s="36"/>
      <c r="L784" s="31"/>
      <c r="M784" s="36"/>
    </row>
    <row r="785" ht="14.25" customHeight="1">
      <c r="H785" s="79"/>
      <c r="I785" s="31"/>
      <c r="J785" s="36"/>
      <c r="L785" s="31"/>
      <c r="M785" s="36"/>
    </row>
    <row r="786" ht="14.25" customHeight="1">
      <c r="H786" s="79"/>
      <c r="I786" s="31"/>
      <c r="J786" s="36"/>
      <c r="L786" s="31"/>
      <c r="M786" s="36"/>
    </row>
    <row r="787" ht="14.25" customHeight="1">
      <c r="H787" s="79"/>
      <c r="I787" s="31"/>
      <c r="J787" s="36"/>
      <c r="L787" s="31"/>
      <c r="M787" s="36"/>
    </row>
    <row r="788" ht="14.25" customHeight="1">
      <c r="H788" s="79"/>
      <c r="I788" s="31"/>
      <c r="J788" s="36"/>
      <c r="L788" s="31"/>
      <c r="M788" s="36"/>
    </row>
    <row r="789" ht="14.25" customHeight="1">
      <c r="H789" s="79"/>
      <c r="I789" s="31"/>
      <c r="J789" s="36"/>
      <c r="L789" s="31"/>
      <c r="M789" s="36"/>
    </row>
    <row r="790" ht="14.25" customHeight="1">
      <c r="H790" s="79"/>
      <c r="I790" s="31"/>
      <c r="J790" s="36"/>
      <c r="L790" s="31"/>
      <c r="M790" s="36"/>
    </row>
    <row r="791" ht="14.25" customHeight="1">
      <c r="H791" s="79"/>
      <c r="I791" s="31"/>
      <c r="J791" s="36"/>
      <c r="L791" s="31"/>
      <c r="M791" s="36"/>
    </row>
    <row r="792" ht="14.25" customHeight="1">
      <c r="H792" s="79"/>
      <c r="I792" s="31"/>
      <c r="J792" s="36"/>
      <c r="L792" s="31"/>
      <c r="M792" s="36"/>
    </row>
    <row r="793" ht="14.25" customHeight="1">
      <c r="H793" s="79"/>
      <c r="I793" s="31"/>
      <c r="J793" s="36"/>
      <c r="L793" s="31"/>
      <c r="M793" s="36"/>
    </row>
    <row r="794" ht="14.25" customHeight="1">
      <c r="H794" s="79"/>
      <c r="I794" s="31"/>
      <c r="J794" s="36"/>
      <c r="L794" s="31"/>
      <c r="M794" s="36"/>
    </row>
    <row r="795" ht="14.25" customHeight="1">
      <c r="H795" s="79"/>
      <c r="I795" s="31"/>
      <c r="J795" s="36"/>
      <c r="L795" s="31"/>
      <c r="M795" s="36"/>
    </row>
    <row r="796" ht="14.25" customHeight="1">
      <c r="H796" s="79"/>
      <c r="I796" s="31"/>
      <c r="J796" s="36"/>
      <c r="L796" s="31"/>
      <c r="M796" s="36"/>
    </row>
    <row r="797" ht="14.25" customHeight="1">
      <c r="H797" s="79"/>
      <c r="I797" s="31"/>
      <c r="J797" s="36"/>
      <c r="L797" s="31"/>
      <c r="M797" s="36"/>
    </row>
    <row r="798" ht="14.25" customHeight="1">
      <c r="H798" s="79"/>
      <c r="I798" s="31"/>
      <c r="J798" s="36"/>
      <c r="L798" s="31"/>
      <c r="M798" s="36"/>
    </row>
    <row r="799" ht="14.25" customHeight="1">
      <c r="H799" s="79"/>
      <c r="I799" s="31"/>
      <c r="J799" s="36"/>
      <c r="L799" s="31"/>
      <c r="M799" s="36"/>
    </row>
    <row r="800" ht="14.25" customHeight="1">
      <c r="H800" s="79"/>
      <c r="I800" s="31"/>
      <c r="J800" s="36"/>
      <c r="L800" s="31"/>
      <c r="M800" s="36"/>
    </row>
    <row r="801" ht="14.25" customHeight="1">
      <c r="H801" s="79"/>
      <c r="I801" s="31"/>
      <c r="J801" s="36"/>
      <c r="L801" s="31"/>
      <c r="M801" s="36"/>
    </row>
    <row r="802" ht="14.25" customHeight="1">
      <c r="H802" s="79"/>
      <c r="I802" s="31"/>
      <c r="J802" s="36"/>
      <c r="L802" s="31"/>
      <c r="M802" s="36"/>
    </row>
    <row r="803" ht="14.25" customHeight="1">
      <c r="H803" s="79"/>
      <c r="I803" s="31"/>
      <c r="J803" s="36"/>
      <c r="L803" s="31"/>
      <c r="M803" s="36"/>
    </row>
    <row r="804" ht="14.25" customHeight="1">
      <c r="H804" s="79"/>
      <c r="I804" s="31"/>
      <c r="J804" s="36"/>
      <c r="L804" s="31"/>
      <c r="M804" s="36"/>
    </row>
    <row r="805" ht="14.25" customHeight="1">
      <c r="H805" s="79"/>
      <c r="I805" s="31"/>
      <c r="J805" s="36"/>
      <c r="L805" s="31"/>
      <c r="M805" s="36"/>
    </row>
    <row r="806" ht="14.25" customHeight="1">
      <c r="H806" s="79"/>
      <c r="I806" s="31"/>
      <c r="J806" s="36"/>
      <c r="L806" s="31"/>
      <c r="M806" s="36"/>
    </row>
    <row r="807" ht="14.25" customHeight="1">
      <c r="H807" s="79"/>
      <c r="I807" s="31"/>
      <c r="J807" s="36"/>
      <c r="L807" s="31"/>
      <c r="M807" s="36"/>
    </row>
    <row r="808" ht="14.25" customHeight="1">
      <c r="H808" s="79"/>
      <c r="I808" s="31"/>
      <c r="J808" s="36"/>
      <c r="L808" s="31"/>
      <c r="M808" s="36"/>
    </row>
    <row r="809" ht="14.25" customHeight="1">
      <c r="H809" s="79"/>
      <c r="I809" s="31"/>
      <c r="J809" s="36"/>
      <c r="L809" s="31"/>
      <c r="M809" s="36"/>
    </row>
    <row r="810" ht="14.25" customHeight="1">
      <c r="H810" s="79"/>
      <c r="I810" s="31"/>
      <c r="J810" s="36"/>
      <c r="L810" s="31"/>
      <c r="M810" s="36"/>
    </row>
    <row r="811" ht="14.25" customHeight="1">
      <c r="H811" s="79"/>
      <c r="I811" s="31"/>
      <c r="J811" s="36"/>
      <c r="L811" s="31"/>
      <c r="M811" s="36"/>
    </row>
    <row r="812" ht="14.25" customHeight="1">
      <c r="H812" s="79"/>
      <c r="I812" s="31"/>
      <c r="J812" s="36"/>
      <c r="L812" s="31"/>
      <c r="M812" s="36"/>
    </row>
    <row r="813" ht="14.25" customHeight="1">
      <c r="H813" s="79"/>
      <c r="I813" s="31"/>
      <c r="J813" s="36"/>
      <c r="L813" s="31"/>
      <c r="M813" s="36"/>
    </row>
    <row r="814" ht="14.25" customHeight="1">
      <c r="H814" s="79"/>
      <c r="I814" s="31"/>
      <c r="J814" s="36"/>
      <c r="L814" s="31"/>
      <c r="M814" s="36"/>
    </row>
    <row r="815" ht="14.25" customHeight="1">
      <c r="H815" s="79"/>
      <c r="I815" s="31"/>
      <c r="J815" s="36"/>
      <c r="L815" s="31"/>
      <c r="M815" s="36"/>
    </row>
    <row r="816" ht="14.25" customHeight="1">
      <c r="H816" s="79"/>
      <c r="I816" s="31"/>
      <c r="J816" s="36"/>
      <c r="L816" s="31"/>
      <c r="M816" s="36"/>
    </row>
    <row r="817" ht="14.25" customHeight="1">
      <c r="H817" s="79"/>
      <c r="I817" s="31"/>
      <c r="J817" s="36"/>
      <c r="L817" s="31"/>
      <c r="M817" s="36"/>
    </row>
    <row r="818" ht="14.25" customHeight="1">
      <c r="H818" s="79"/>
      <c r="I818" s="31"/>
      <c r="J818" s="36"/>
      <c r="L818" s="31"/>
      <c r="M818" s="36"/>
    </row>
    <row r="819" ht="14.25" customHeight="1">
      <c r="H819" s="79"/>
      <c r="I819" s="31"/>
      <c r="J819" s="36"/>
      <c r="L819" s="31"/>
      <c r="M819" s="36"/>
    </row>
    <row r="820" ht="14.25" customHeight="1">
      <c r="H820" s="79"/>
      <c r="I820" s="31"/>
      <c r="J820" s="36"/>
      <c r="L820" s="31"/>
      <c r="M820" s="36"/>
    </row>
    <row r="821" ht="14.25" customHeight="1">
      <c r="H821" s="79"/>
      <c r="I821" s="31"/>
      <c r="J821" s="36"/>
      <c r="L821" s="31"/>
      <c r="M821" s="36"/>
    </row>
    <row r="822" ht="14.25" customHeight="1">
      <c r="H822" s="79"/>
      <c r="I822" s="31"/>
      <c r="J822" s="36"/>
      <c r="L822" s="31"/>
      <c r="M822" s="36"/>
    </row>
    <row r="823" ht="14.25" customHeight="1">
      <c r="H823" s="79"/>
      <c r="I823" s="31"/>
      <c r="J823" s="36"/>
      <c r="L823" s="31"/>
      <c r="M823" s="36"/>
    </row>
    <row r="824" ht="14.25" customHeight="1">
      <c r="H824" s="79"/>
      <c r="I824" s="31"/>
      <c r="J824" s="36"/>
      <c r="L824" s="31"/>
      <c r="M824" s="36"/>
    </row>
    <row r="825" ht="14.25" customHeight="1">
      <c r="H825" s="79"/>
      <c r="I825" s="31"/>
      <c r="J825" s="36"/>
      <c r="L825" s="31"/>
      <c r="M825" s="36"/>
    </row>
    <row r="826" ht="14.25" customHeight="1">
      <c r="H826" s="79"/>
      <c r="I826" s="31"/>
      <c r="J826" s="36"/>
      <c r="L826" s="31"/>
      <c r="M826" s="36"/>
    </row>
    <row r="827" ht="14.25" customHeight="1">
      <c r="H827" s="79"/>
      <c r="I827" s="31"/>
      <c r="J827" s="36"/>
      <c r="L827" s="31"/>
      <c r="M827" s="36"/>
    </row>
    <row r="828" ht="14.25" customHeight="1">
      <c r="H828" s="79"/>
      <c r="I828" s="31"/>
      <c r="J828" s="36"/>
      <c r="L828" s="31"/>
      <c r="M828" s="36"/>
    </row>
    <row r="829" ht="14.25" customHeight="1">
      <c r="H829" s="79"/>
      <c r="I829" s="31"/>
      <c r="J829" s="36"/>
      <c r="L829" s="31"/>
      <c r="M829" s="36"/>
    </row>
    <row r="830" ht="14.25" customHeight="1">
      <c r="H830" s="79"/>
      <c r="I830" s="31"/>
      <c r="J830" s="36"/>
      <c r="L830" s="31"/>
      <c r="M830" s="36"/>
    </row>
    <row r="831" ht="14.25" customHeight="1">
      <c r="H831" s="79"/>
      <c r="I831" s="31"/>
      <c r="J831" s="36"/>
      <c r="L831" s="31"/>
      <c r="M831" s="36"/>
    </row>
    <row r="832" ht="14.25" customHeight="1">
      <c r="H832" s="79"/>
      <c r="I832" s="31"/>
      <c r="J832" s="36"/>
      <c r="L832" s="31"/>
      <c r="M832" s="36"/>
    </row>
    <row r="833" ht="14.25" customHeight="1">
      <c r="H833" s="79"/>
      <c r="I833" s="31"/>
      <c r="J833" s="36"/>
      <c r="L833" s="31"/>
      <c r="M833" s="36"/>
    </row>
    <row r="834" ht="14.25" customHeight="1">
      <c r="H834" s="79"/>
      <c r="I834" s="31"/>
      <c r="J834" s="36"/>
      <c r="L834" s="31"/>
      <c r="M834" s="36"/>
    </row>
    <row r="835" ht="14.25" customHeight="1">
      <c r="H835" s="79"/>
      <c r="I835" s="31"/>
      <c r="J835" s="36"/>
      <c r="L835" s="31"/>
      <c r="M835" s="36"/>
    </row>
    <row r="836" ht="14.25" customHeight="1">
      <c r="H836" s="79"/>
      <c r="I836" s="31"/>
      <c r="J836" s="36"/>
      <c r="L836" s="31"/>
      <c r="M836" s="36"/>
    </row>
    <row r="837" ht="14.25" customHeight="1">
      <c r="H837" s="79"/>
      <c r="I837" s="31"/>
      <c r="J837" s="36"/>
      <c r="L837" s="31"/>
      <c r="M837" s="36"/>
    </row>
    <row r="838" ht="14.25" customHeight="1">
      <c r="H838" s="79"/>
      <c r="I838" s="31"/>
      <c r="J838" s="36"/>
      <c r="L838" s="31"/>
      <c r="M838" s="36"/>
    </row>
    <row r="839" ht="14.25" customHeight="1">
      <c r="H839" s="79"/>
      <c r="I839" s="31"/>
      <c r="J839" s="36"/>
      <c r="L839" s="31"/>
      <c r="M839" s="36"/>
    </row>
    <row r="840" ht="14.25" customHeight="1">
      <c r="H840" s="79"/>
      <c r="I840" s="31"/>
      <c r="J840" s="36"/>
      <c r="L840" s="31"/>
      <c r="M840" s="36"/>
    </row>
    <row r="841" ht="14.25" customHeight="1">
      <c r="H841" s="79"/>
      <c r="I841" s="31"/>
      <c r="J841" s="36"/>
      <c r="L841" s="31"/>
      <c r="M841" s="36"/>
    </row>
    <row r="842" ht="14.25" customHeight="1">
      <c r="H842" s="79"/>
      <c r="I842" s="31"/>
      <c r="J842" s="36"/>
      <c r="L842" s="31"/>
      <c r="M842" s="36"/>
    </row>
    <row r="843" ht="14.25" customHeight="1">
      <c r="H843" s="79"/>
      <c r="I843" s="31"/>
      <c r="J843" s="36"/>
      <c r="L843" s="31"/>
      <c r="M843" s="36"/>
    </row>
    <row r="844" ht="14.25" customHeight="1">
      <c r="H844" s="79"/>
      <c r="I844" s="31"/>
      <c r="J844" s="36"/>
      <c r="L844" s="31"/>
      <c r="M844" s="36"/>
    </row>
    <row r="845" ht="14.25" customHeight="1">
      <c r="H845" s="79"/>
      <c r="I845" s="31"/>
      <c r="J845" s="36"/>
      <c r="L845" s="31"/>
      <c r="M845" s="36"/>
    </row>
    <row r="846" ht="14.25" customHeight="1">
      <c r="H846" s="79"/>
      <c r="I846" s="31"/>
      <c r="J846" s="36"/>
      <c r="L846" s="31"/>
      <c r="M846" s="36"/>
    </row>
    <row r="847" ht="14.25" customHeight="1">
      <c r="H847" s="79"/>
      <c r="I847" s="31"/>
      <c r="J847" s="36"/>
      <c r="L847" s="31"/>
      <c r="M847" s="36"/>
    </row>
    <row r="848" ht="14.25" customHeight="1">
      <c r="H848" s="79"/>
      <c r="I848" s="31"/>
      <c r="J848" s="36"/>
      <c r="L848" s="31"/>
      <c r="M848" s="36"/>
    </row>
    <row r="849" ht="14.25" customHeight="1">
      <c r="H849" s="79"/>
      <c r="I849" s="31"/>
      <c r="J849" s="36"/>
      <c r="L849" s="31"/>
      <c r="M849" s="36"/>
    </row>
    <row r="850" ht="14.25" customHeight="1">
      <c r="H850" s="79"/>
      <c r="I850" s="31"/>
      <c r="J850" s="36"/>
      <c r="L850" s="31"/>
      <c r="M850" s="36"/>
    </row>
    <row r="851" ht="14.25" customHeight="1">
      <c r="H851" s="79"/>
      <c r="I851" s="31"/>
      <c r="J851" s="36"/>
      <c r="L851" s="31"/>
      <c r="M851" s="36"/>
    </row>
    <row r="852" ht="14.25" customHeight="1">
      <c r="H852" s="79"/>
      <c r="I852" s="31"/>
      <c r="J852" s="36"/>
      <c r="L852" s="31"/>
      <c r="M852" s="36"/>
    </row>
    <row r="853" ht="14.25" customHeight="1">
      <c r="H853" s="79"/>
      <c r="I853" s="31"/>
      <c r="J853" s="36"/>
      <c r="L853" s="31"/>
      <c r="M853" s="36"/>
    </row>
    <row r="854" ht="14.25" customHeight="1">
      <c r="H854" s="79"/>
      <c r="I854" s="31"/>
      <c r="J854" s="36"/>
      <c r="L854" s="31"/>
      <c r="M854" s="36"/>
    </row>
    <row r="855" ht="14.25" customHeight="1">
      <c r="H855" s="79"/>
      <c r="I855" s="31"/>
      <c r="J855" s="36"/>
      <c r="L855" s="31"/>
      <c r="M855" s="36"/>
    </row>
    <row r="856" ht="14.25" customHeight="1">
      <c r="H856" s="79"/>
      <c r="I856" s="31"/>
      <c r="J856" s="36"/>
      <c r="L856" s="31"/>
      <c r="M856" s="36"/>
    </row>
    <row r="857" ht="14.25" customHeight="1">
      <c r="H857" s="79"/>
      <c r="I857" s="31"/>
      <c r="J857" s="36"/>
      <c r="L857" s="31"/>
      <c r="M857" s="36"/>
    </row>
    <row r="858" ht="14.25" customHeight="1">
      <c r="H858" s="79"/>
      <c r="I858" s="31"/>
      <c r="J858" s="36"/>
      <c r="L858" s="31"/>
      <c r="M858" s="36"/>
    </row>
    <row r="859" ht="14.25" customHeight="1">
      <c r="H859" s="79"/>
      <c r="I859" s="31"/>
      <c r="J859" s="36"/>
      <c r="L859" s="31"/>
      <c r="M859" s="36"/>
    </row>
    <row r="860" ht="14.25" customHeight="1">
      <c r="H860" s="79"/>
      <c r="I860" s="31"/>
      <c r="J860" s="36"/>
      <c r="L860" s="31"/>
      <c r="M860" s="36"/>
    </row>
    <row r="861" ht="14.25" customHeight="1">
      <c r="H861" s="79"/>
      <c r="I861" s="31"/>
      <c r="J861" s="36"/>
      <c r="L861" s="31"/>
      <c r="M861" s="36"/>
    </row>
    <row r="862" ht="14.25" customHeight="1">
      <c r="H862" s="79"/>
      <c r="I862" s="31"/>
      <c r="J862" s="36"/>
      <c r="L862" s="31"/>
      <c r="M862" s="36"/>
    </row>
    <row r="863" ht="14.25" customHeight="1">
      <c r="H863" s="79"/>
      <c r="I863" s="31"/>
      <c r="J863" s="36"/>
      <c r="L863" s="31"/>
      <c r="M863" s="36"/>
    </row>
    <row r="864" ht="14.25" customHeight="1">
      <c r="H864" s="79"/>
      <c r="I864" s="31"/>
      <c r="J864" s="36"/>
      <c r="L864" s="31"/>
      <c r="M864" s="36"/>
    </row>
    <row r="865" ht="14.25" customHeight="1">
      <c r="H865" s="79"/>
      <c r="I865" s="31"/>
      <c r="J865" s="36"/>
      <c r="L865" s="31"/>
      <c r="M865" s="36"/>
    </row>
    <row r="866" ht="14.25" customHeight="1">
      <c r="H866" s="79"/>
      <c r="I866" s="31"/>
      <c r="J866" s="36"/>
      <c r="L866" s="31"/>
      <c r="M866" s="36"/>
    </row>
    <row r="867" ht="14.25" customHeight="1">
      <c r="H867" s="79"/>
      <c r="I867" s="31"/>
      <c r="J867" s="36"/>
      <c r="L867" s="31"/>
      <c r="M867" s="36"/>
    </row>
    <row r="868" ht="14.25" customHeight="1">
      <c r="H868" s="79"/>
      <c r="I868" s="31"/>
      <c r="J868" s="36"/>
      <c r="L868" s="31"/>
      <c r="M868" s="36"/>
    </row>
    <row r="869" ht="14.25" customHeight="1">
      <c r="H869" s="79"/>
      <c r="I869" s="31"/>
      <c r="J869" s="36"/>
      <c r="L869" s="31"/>
      <c r="M869" s="36"/>
    </row>
    <row r="870" ht="14.25" customHeight="1">
      <c r="H870" s="79"/>
      <c r="I870" s="31"/>
      <c r="J870" s="36"/>
      <c r="L870" s="31"/>
      <c r="M870" s="36"/>
    </row>
    <row r="871" ht="14.25" customHeight="1">
      <c r="H871" s="79"/>
      <c r="I871" s="31"/>
      <c r="J871" s="36"/>
      <c r="L871" s="31"/>
      <c r="M871" s="36"/>
    </row>
    <row r="872" ht="14.25" customHeight="1">
      <c r="H872" s="79"/>
      <c r="I872" s="31"/>
      <c r="J872" s="36"/>
      <c r="L872" s="31"/>
      <c r="M872" s="36"/>
    </row>
    <row r="873" ht="14.25" customHeight="1">
      <c r="H873" s="79"/>
      <c r="I873" s="31"/>
      <c r="J873" s="36"/>
      <c r="L873" s="31"/>
      <c r="M873" s="36"/>
    </row>
    <row r="874" ht="14.25" customHeight="1">
      <c r="H874" s="79"/>
      <c r="I874" s="31"/>
      <c r="J874" s="36"/>
      <c r="L874" s="31"/>
      <c r="M874" s="36"/>
    </row>
    <row r="875" ht="14.25" customHeight="1">
      <c r="H875" s="79"/>
      <c r="I875" s="31"/>
      <c r="J875" s="36"/>
      <c r="L875" s="31"/>
      <c r="M875" s="36"/>
    </row>
    <row r="876" ht="14.25" customHeight="1">
      <c r="H876" s="79"/>
      <c r="I876" s="31"/>
      <c r="J876" s="36"/>
      <c r="L876" s="31"/>
      <c r="M876" s="36"/>
    </row>
    <row r="877" ht="14.25" customHeight="1">
      <c r="H877" s="79"/>
      <c r="I877" s="31"/>
      <c r="J877" s="36"/>
      <c r="L877" s="31"/>
      <c r="M877" s="36"/>
    </row>
    <row r="878" ht="14.25" customHeight="1">
      <c r="H878" s="79"/>
      <c r="I878" s="31"/>
      <c r="J878" s="36"/>
      <c r="L878" s="31"/>
      <c r="M878" s="36"/>
    </row>
    <row r="879" ht="14.25" customHeight="1">
      <c r="H879" s="79"/>
      <c r="I879" s="31"/>
      <c r="J879" s="36"/>
      <c r="L879" s="31"/>
      <c r="M879" s="36"/>
    </row>
    <row r="880" ht="14.25" customHeight="1">
      <c r="H880" s="79"/>
      <c r="I880" s="31"/>
      <c r="J880" s="36"/>
      <c r="L880" s="31"/>
      <c r="M880" s="36"/>
    </row>
    <row r="881" ht="14.25" customHeight="1">
      <c r="H881" s="79"/>
      <c r="I881" s="31"/>
      <c r="J881" s="36"/>
      <c r="L881" s="31"/>
      <c r="M881" s="36"/>
    </row>
    <row r="882" ht="14.25" customHeight="1">
      <c r="H882" s="79"/>
      <c r="I882" s="31"/>
      <c r="J882" s="36"/>
      <c r="L882" s="31"/>
      <c r="M882" s="36"/>
    </row>
    <row r="883" ht="14.25" customHeight="1">
      <c r="H883" s="79"/>
      <c r="I883" s="31"/>
      <c r="J883" s="36"/>
      <c r="L883" s="31"/>
      <c r="M883" s="36"/>
    </row>
    <row r="884" ht="14.25" customHeight="1">
      <c r="H884" s="79"/>
      <c r="I884" s="31"/>
      <c r="J884" s="36"/>
      <c r="L884" s="31"/>
      <c r="M884" s="36"/>
    </row>
    <row r="885" ht="14.25" customHeight="1">
      <c r="H885" s="79"/>
      <c r="I885" s="31"/>
      <c r="J885" s="36"/>
      <c r="L885" s="31"/>
      <c r="M885" s="36"/>
    </row>
    <row r="886" ht="14.25" customHeight="1">
      <c r="H886" s="79"/>
      <c r="I886" s="31"/>
      <c r="J886" s="36"/>
      <c r="L886" s="31"/>
      <c r="M886" s="36"/>
    </row>
    <row r="887" ht="14.25" customHeight="1">
      <c r="H887" s="79"/>
      <c r="I887" s="31"/>
      <c r="J887" s="36"/>
      <c r="L887" s="31"/>
      <c r="M887" s="36"/>
    </row>
    <row r="888" ht="14.25" customHeight="1">
      <c r="H888" s="79"/>
      <c r="I888" s="31"/>
      <c r="J888" s="36"/>
      <c r="L888" s="31"/>
      <c r="M888" s="36"/>
    </row>
    <row r="889" ht="14.25" customHeight="1">
      <c r="H889" s="79"/>
      <c r="I889" s="31"/>
      <c r="J889" s="36"/>
      <c r="L889" s="31"/>
      <c r="M889" s="36"/>
    </row>
    <row r="890" ht="14.25" customHeight="1">
      <c r="H890" s="79"/>
      <c r="I890" s="31"/>
      <c r="J890" s="36"/>
      <c r="L890" s="31"/>
      <c r="M890" s="36"/>
    </row>
    <row r="891" ht="14.25" customHeight="1">
      <c r="H891" s="79"/>
      <c r="I891" s="31"/>
      <c r="J891" s="36"/>
      <c r="L891" s="31"/>
      <c r="M891" s="36"/>
    </row>
    <row r="892" ht="14.25" customHeight="1">
      <c r="H892" s="79"/>
      <c r="I892" s="31"/>
      <c r="J892" s="36"/>
      <c r="L892" s="31"/>
      <c r="M892" s="36"/>
    </row>
    <row r="893" ht="14.25" customHeight="1">
      <c r="H893" s="79"/>
      <c r="I893" s="31"/>
      <c r="J893" s="36"/>
      <c r="L893" s="31"/>
      <c r="M893" s="36"/>
    </row>
    <row r="894" ht="14.25" customHeight="1">
      <c r="H894" s="79"/>
      <c r="I894" s="31"/>
      <c r="J894" s="36"/>
      <c r="L894" s="31"/>
      <c r="M894" s="36"/>
    </row>
    <row r="895" ht="14.25" customHeight="1">
      <c r="H895" s="79"/>
      <c r="I895" s="31"/>
      <c r="J895" s="36"/>
      <c r="L895" s="31"/>
      <c r="M895" s="36"/>
    </row>
    <row r="896" ht="14.25" customHeight="1">
      <c r="H896" s="79"/>
      <c r="I896" s="31"/>
      <c r="J896" s="36"/>
      <c r="L896" s="31"/>
      <c r="M896" s="36"/>
    </row>
    <row r="897" ht="14.25" customHeight="1">
      <c r="H897" s="79"/>
      <c r="I897" s="31"/>
      <c r="J897" s="36"/>
      <c r="L897" s="31"/>
      <c r="M897" s="36"/>
    </row>
    <row r="898" ht="14.25" customHeight="1">
      <c r="H898" s="79"/>
      <c r="I898" s="31"/>
      <c r="J898" s="36"/>
      <c r="L898" s="31"/>
      <c r="M898" s="36"/>
    </row>
    <row r="899" ht="14.25" customHeight="1">
      <c r="H899" s="79"/>
      <c r="I899" s="31"/>
      <c r="J899" s="36"/>
      <c r="L899" s="31"/>
      <c r="M899" s="36"/>
    </row>
    <row r="900" ht="14.25" customHeight="1">
      <c r="H900" s="79"/>
      <c r="I900" s="31"/>
      <c r="J900" s="36"/>
      <c r="L900" s="31"/>
      <c r="M900" s="36"/>
    </row>
    <row r="901" ht="14.25" customHeight="1">
      <c r="H901" s="79"/>
      <c r="I901" s="31"/>
      <c r="J901" s="36"/>
      <c r="L901" s="31"/>
      <c r="M901" s="36"/>
    </row>
    <row r="902" ht="14.25" customHeight="1">
      <c r="H902" s="79"/>
      <c r="I902" s="31"/>
      <c r="J902" s="36"/>
      <c r="L902" s="31"/>
      <c r="M902" s="36"/>
    </row>
    <row r="903" ht="14.25" customHeight="1">
      <c r="H903" s="79"/>
      <c r="I903" s="31"/>
      <c r="J903" s="36"/>
      <c r="L903" s="31"/>
      <c r="M903" s="36"/>
    </row>
    <row r="904" ht="14.25" customHeight="1">
      <c r="H904" s="79"/>
      <c r="I904" s="31"/>
      <c r="J904" s="36"/>
      <c r="L904" s="31"/>
      <c r="M904" s="36"/>
    </row>
    <row r="905" ht="14.25" customHeight="1">
      <c r="H905" s="79"/>
      <c r="I905" s="31"/>
      <c r="J905" s="36"/>
      <c r="L905" s="31"/>
      <c r="M905" s="36"/>
    </row>
    <row r="906" ht="14.25" customHeight="1">
      <c r="H906" s="79"/>
      <c r="I906" s="31"/>
      <c r="J906" s="36"/>
      <c r="L906" s="31"/>
      <c r="M906" s="36"/>
    </row>
    <row r="907" ht="14.25" customHeight="1">
      <c r="H907" s="79"/>
      <c r="I907" s="31"/>
      <c r="J907" s="36"/>
      <c r="L907" s="31"/>
      <c r="M907" s="36"/>
    </row>
    <row r="908" ht="14.25" customHeight="1">
      <c r="H908" s="79"/>
      <c r="I908" s="31"/>
      <c r="J908" s="36"/>
      <c r="L908" s="31"/>
      <c r="M908" s="36"/>
    </row>
    <row r="909" ht="14.25" customHeight="1">
      <c r="H909" s="79"/>
      <c r="I909" s="31"/>
      <c r="J909" s="36"/>
      <c r="L909" s="31"/>
      <c r="M909" s="36"/>
    </row>
    <row r="910" ht="14.25" customHeight="1">
      <c r="H910" s="79"/>
      <c r="I910" s="31"/>
      <c r="J910" s="36"/>
      <c r="L910" s="31"/>
      <c r="M910" s="36"/>
    </row>
    <row r="911" ht="14.25" customHeight="1">
      <c r="H911" s="79"/>
      <c r="I911" s="31"/>
      <c r="J911" s="36"/>
      <c r="L911" s="31"/>
      <c r="M911" s="36"/>
    </row>
    <row r="912" ht="14.25" customHeight="1">
      <c r="H912" s="79"/>
      <c r="I912" s="31"/>
      <c r="J912" s="36"/>
      <c r="L912" s="31"/>
      <c r="M912" s="36"/>
    </row>
    <row r="913" ht="14.25" customHeight="1">
      <c r="H913" s="79"/>
      <c r="I913" s="31"/>
      <c r="J913" s="36"/>
      <c r="L913" s="31"/>
      <c r="M913" s="36"/>
    </row>
    <row r="914" ht="14.25" customHeight="1">
      <c r="H914" s="79"/>
      <c r="I914" s="31"/>
      <c r="J914" s="36"/>
      <c r="L914" s="31"/>
      <c r="M914" s="36"/>
    </row>
    <row r="915" ht="14.25" customHeight="1">
      <c r="H915" s="79"/>
      <c r="I915" s="31"/>
      <c r="J915" s="36"/>
      <c r="L915" s="31"/>
      <c r="M915" s="36"/>
    </row>
    <row r="916" ht="14.25" customHeight="1">
      <c r="H916" s="79"/>
      <c r="I916" s="31"/>
      <c r="J916" s="36"/>
      <c r="L916" s="31"/>
      <c r="M916" s="36"/>
    </row>
    <row r="917" ht="14.25" customHeight="1">
      <c r="H917" s="79"/>
      <c r="I917" s="31"/>
      <c r="J917" s="36"/>
      <c r="L917" s="31"/>
      <c r="M917" s="36"/>
    </row>
    <row r="918" ht="14.25" customHeight="1">
      <c r="H918" s="79"/>
      <c r="I918" s="31"/>
      <c r="J918" s="36"/>
      <c r="L918" s="31"/>
      <c r="M918" s="36"/>
    </row>
    <row r="919" ht="14.25" customHeight="1">
      <c r="H919" s="79"/>
      <c r="I919" s="31"/>
      <c r="J919" s="36"/>
      <c r="L919" s="31"/>
      <c r="M919" s="36"/>
    </row>
    <row r="920" ht="14.25" customHeight="1">
      <c r="H920" s="79"/>
      <c r="I920" s="31"/>
      <c r="J920" s="36"/>
      <c r="L920" s="31"/>
      <c r="M920" s="36"/>
    </row>
    <row r="921" ht="14.25" customHeight="1">
      <c r="H921" s="79"/>
      <c r="I921" s="31"/>
      <c r="J921" s="36"/>
      <c r="L921" s="31"/>
      <c r="M921" s="36"/>
    </row>
    <row r="922" ht="14.25" customHeight="1">
      <c r="H922" s="79"/>
      <c r="I922" s="31"/>
      <c r="J922" s="36"/>
      <c r="L922" s="31"/>
      <c r="M922" s="36"/>
    </row>
    <row r="923" ht="14.25" customHeight="1">
      <c r="H923" s="79"/>
      <c r="I923" s="31"/>
      <c r="J923" s="36"/>
      <c r="L923" s="31"/>
      <c r="M923" s="36"/>
    </row>
    <row r="924" ht="14.25" customHeight="1">
      <c r="H924" s="79"/>
      <c r="I924" s="31"/>
      <c r="J924" s="36"/>
      <c r="L924" s="31"/>
      <c r="M924" s="36"/>
    </row>
    <row r="925" ht="14.25" customHeight="1">
      <c r="H925" s="79"/>
      <c r="I925" s="31"/>
      <c r="J925" s="36"/>
      <c r="L925" s="31"/>
      <c r="M925" s="36"/>
    </row>
    <row r="926" ht="14.25" customHeight="1">
      <c r="H926" s="79"/>
      <c r="I926" s="31"/>
      <c r="J926" s="36"/>
      <c r="L926" s="31"/>
      <c r="M926" s="36"/>
    </row>
    <row r="927" ht="14.25" customHeight="1">
      <c r="H927" s="79"/>
      <c r="I927" s="31"/>
      <c r="J927" s="36"/>
      <c r="L927" s="31"/>
      <c r="M927" s="36"/>
    </row>
    <row r="928" ht="14.25" customHeight="1">
      <c r="H928" s="79"/>
      <c r="I928" s="31"/>
      <c r="J928" s="36"/>
      <c r="L928" s="31"/>
      <c r="M928" s="36"/>
    </row>
    <row r="929" ht="14.25" customHeight="1">
      <c r="H929" s="79"/>
      <c r="I929" s="31"/>
      <c r="J929" s="36"/>
      <c r="L929" s="31"/>
      <c r="M929" s="36"/>
    </row>
    <row r="930" ht="14.25" customHeight="1">
      <c r="H930" s="79"/>
      <c r="I930" s="31"/>
      <c r="J930" s="36"/>
      <c r="L930" s="31"/>
      <c r="M930" s="36"/>
    </row>
    <row r="931" ht="14.25" customHeight="1">
      <c r="H931" s="79"/>
      <c r="I931" s="31"/>
      <c r="J931" s="36"/>
      <c r="L931" s="31"/>
      <c r="M931" s="36"/>
    </row>
    <row r="932" ht="14.25" customHeight="1">
      <c r="H932" s="79"/>
      <c r="I932" s="31"/>
      <c r="J932" s="36"/>
      <c r="L932" s="31"/>
      <c r="M932" s="36"/>
    </row>
    <row r="933" ht="14.25" customHeight="1">
      <c r="H933" s="79"/>
      <c r="I933" s="31"/>
      <c r="J933" s="36"/>
      <c r="L933" s="31"/>
      <c r="M933" s="36"/>
    </row>
    <row r="934" ht="14.25" customHeight="1">
      <c r="H934" s="79"/>
      <c r="I934" s="31"/>
      <c r="J934" s="36"/>
      <c r="L934" s="31"/>
      <c r="M934" s="36"/>
    </row>
    <row r="935" ht="14.25" customHeight="1">
      <c r="H935" s="79"/>
      <c r="I935" s="31"/>
      <c r="J935" s="36"/>
      <c r="L935" s="31"/>
      <c r="M935" s="36"/>
    </row>
    <row r="936" ht="14.25" customHeight="1">
      <c r="H936" s="79"/>
      <c r="I936" s="31"/>
      <c r="J936" s="36"/>
      <c r="L936" s="31"/>
      <c r="M936" s="36"/>
    </row>
    <row r="937" ht="14.25" customHeight="1">
      <c r="H937" s="79"/>
      <c r="I937" s="31"/>
      <c r="J937" s="36"/>
      <c r="L937" s="31"/>
      <c r="M937" s="36"/>
    </row>
    <row r="938" ht="14.25" customHeight="1">
      <c r="H938" s="79"/>
      <c r="I938" s="31"/>
      <c r="J938" s="36"/>
      <c r="L938" s="31"/>
      <c r="M938" s="36"/>
    </row>
    <row r="939" ht="14.25" customHeight="1">
      <c r="H939" s="79"/>
      <c r="I939" s="31"/>
      <c r="J939" s="36"/>
      <c r="L939" s="31"/>
      <c r="M939" s="36"/>
    </row>
    <row r="940" ht="14.25" customHeight="1">
      <c r="H940" s="79"/>
      <c r="I940" s="31"/>
      <c r="J940" s="36"/>
      <c r="L940" s="31"/>
      <c r="M940" s="36"/>
    </row>
    <row r="941" ht="14.25" customHeight="1">
      <c r="H941" s="79"/>
      <c r="I941" s="31"/>
      <c r="J941" s="36"/>
      <c r="L941" s="31"/>
      <c r="M941" s="36"/>
    </row>
    <row r="942" ht="14.25" customHeight="1">
      <c r="H942" s="79"/>
      <c r="I942" s="31"/>
      <c r="J942" s="36"/>
      <c r="L942" s="31"/>
      <c r="M942" s="36"/>
    </row>
    <row r="943" ht="14.25" customHeight="1">
      <c r="H943" s="79"/>
      <c r="I943" s="31"/>
      <c r="J943" s="36"/>
      <c r="L943" s="31"/>
      <c r="M943" s="36"/>
    </row>
    <row r="944" ht="14.25" customHeight="1">
      <c r="H944" s="79"/>
      <c r="I944" s="31"/>
      <c r="J944" s="36"/>
      <c r="L944" s="31"/>
      <c r="M944" s="36"/>
    </row>
    <row r="945" ht="14.25" customHeight="1">
      <c r="H945" s="79"/>
      <c r="I945" s="31"/>
      <c r="J945" s="36"/>
      <c r="L945" s="31"/>
      <c r="M945" s="36"/>
    </row>
    <row r="946" ht="14.25" customHeight="1">
      <c r="H946" s="79"/>
      <c r="I946" s="31"/>
      <c r="J946" s="36"/>
      <c r="L946" s="31"/>
      <c r="M946" s="36"/>
    </row>
    <row r="947" ht="14.25" customHeight="1">
      <c r="H947" s="79"/>
      <c r="I947" s="31"/>
      <c r="J947" s="36"/>
      <c r="L947" s="31"/>
      <c r="M947" s="36"/>
    </row>
    <row r="948" ht="14.25" customHeight="1">
      <c r="H948" s="79"/>
      <c r="I948" s="31"/>
      <c r="J948" s="36"/>
      <c r="L948" s="31"/>
      <c r="M948" s="36"/>
    </row>
    <row r="949" ht="14.25" customHeight="1">
      <c r="H949" s="79"/>
      <c r="I949" s="31"/>
      <c r="J949" s="36"/>
      <c r="L949" s="31"/>
      <c r="M949" s="36"/>
    </row>
    <row r="950" ht="14.25" customHeight="1">
      <c r="H950" s="79"/>
      <c r="I950" s="31"/>
      <c r="J950" s="36"/>
      <c r="L950" s="31"/>
      <c r="M950" s="36"/>
    </row>
    <row r="951" ht="14.25" customHeight="1">
      <c r="H951" s="79"/>
      <c r="I951" s="31"/>
      <c r="J951" s="36"/>
      <c r="L951" s="31"/>
      <c r="M951" s="36"/>
    </row>
    <row r="952" ht="14.25" customHeight="1">
      <c r="H952" s="79"/>
      <c r="I952" s="31"/>
      <c r="J952" s="36"/>
      <c r="L952" s="31"/>
      <c r="M952" s="36"/>
    </row>
    <row r="953" ht="14.25" customHeight="1">
      <c r="H953" s="79"/>
      <c r="I953" s="31"/>
      <c r="J953" s="36"/>
      <c r="L953" s="31"/>
      <c r="M953" s="36"/>
    </row>
    <row r="954" ht="14.25" customHeight="1">
      <c r="H954" s="79"/>
      <c r="I954" s="31"/>
      <c r="J954" s="36"/>
      <c r="L954" s="31"/>
      <c r="M954" s="36"/>
    </row>
    <row r="955" ht="14.25" customHeight="1">
      <c r="H955" s="79"/>
      <c r="I955" s="31"/>
      <c r="J955" s="36"/>
      <c r="L955" s="31"/>
      <c r="M955" s="36"/>
    </row>
    <row r="956" ht="14.25" customHeight="1">
      <c r="H956" s="79"/>
      <c r="I956" s="31"/>
      <c r="J956" s="36"/>
      <c r="L956" s="31"/>
      <c r="M956" s="36"/>
    </row>
    <row r="957" ht="14.25" customHeight="1">
      <c r="H957" s="79"/>
      <c r="I957" s="31"/>
      <c r="J957" s="36"/>
      <c r="L957" s="31"/>
      <c r="M957" s="36"/>
    </row>
    <row r="958" ht="14.25" customHeight="1">
      <c r="H958" s="79"/>
      <c r="I958" s="31"/>
      <c r="J958" s="36"/>
      <c r="L958" s="31"/>
      <c r="M958" s="36"/>
    </row>
    <row r="959" ht="14.25" customHeight="1">
      <c r="H959" s="79"/>
      <c r="I959" s="31"/>
      <c r="J959" s="36"/>
      <c r="L959" s="31"/>
      <c r="M959" s="36"/>
    </row>
    <row r="960" ht="14.25" customHeight="1">
      <c r="H960" s="79"/>
      <c r="I960" s="31"/>
      <c r="J960" s="36"/>
      <c r="L960" s="31"/>
      <c r="M960" s="36"/>
    </row>
    <row r="961" ht="14.25" customHeight="1">
      <c r="H961" s="79"/>
      <c r="I961" s="31"/>
      <c r="J961" s="36"/>
      <c r="L961" s="31"/>
      <c r="M961" s="36"/>
    </row>
    <row r="962" ht="14.25" customHeight="1">
      <c r="H962" s="79"/>
      <c r="I962" s="31"/>
      <c r="J962" s="36"/>
      <c r="L962" s="31"/>
      <c r="M962" s="36"/>
    </row>
    <row r="963" ht="14.25" customHeight="1">
      <c r="H963" s="79"/>
      <c r="I963" s="31"/>
      <c r="J963" s="36"/>
      <c r="L963" s="31"/>
      <c r="M963" s="36"/>
    </row>
    <row r="964" ht="14.25" customHeight="1">
      <c r="H964" s="79"/>
      <c r="I964" s="31"/>
      <c r="J964" s="36"/>
      <c r="L964" s="31"/>
      <c r="M964" s="36"/>
    </row>
    <row r="965" ht="14.25" customHeight="1">
      <c r="H965" s="79"/>
      <c r="I965" s="31"/>
      <c r="J965" s="36"/>
      <c r="L965" s="31"/>
      <c r="M965" s="36"/>
    </row>
    <row r="966" ht="14.25" customHeight="1">
      <c r="H966" s="79"/>
      <c r="I966" s="31"/>
      <c r="J966" s="36"/>
      <c r="L966" s="31"/>
      <c r="M966" s="36"/>
    </row>
    <row r="967" ht="14.25" customHeight="1">
      <c r="H967" s="79"/>
      <c r="I967" s="31"/>
      <c r="J967" s="36"/>
      <c r="L967" s="31"/>
      <c r="M967" s="36"/>
    </row>
    <row r="968" ht="14.25" customHeight="1">
      <c r="H968" s="79"/>
      <c r="I968" s="31"/>
      <c r="J968" s="36"/>
      <c r="L968" s="31"/>
      <c r="M968" s="36"/>
    </row>
    <row r="969" ht="14.25" customHeight="1">
      <c r="H969" s="79"/>
      <c r="I969" s="31"/>
      <c r="J969" s="36"/>
      <c r="L969" s="31"/>
      <c r="M969" s="36"/>
    </row>
    <row r="970" ht="14.25" customHeight="1">
      <c r="H970" s="79"/>
      <c r="I970" s="31"/>
      <c r="J970" s="36"/>
      <c r="L970" s="31"/>
      <c r="M970" s="36"/>
    </row>
    <row r="971" ht="14.25" customHeight="1">
      <c r="H971" s="79"/>
      <c r="I971" s="31"/>
      <c r="J971" s="36"/>
      <c r="L971" s="31"/>
      <c r="M971" s="36"/>
    </row>
    <row r="972" ht="14.25" customHeight="1">
      <c r="H972" s="79"/>
      <c r="I972" s="31"/>
      <c r="J972" s="36"/>
      <c r="L972" s="31"/>
      <c r="M972" s="36"/>
    </row>
    <row r="973" ht="14.25" customHeight="1">
      <c r="H973" s="79"/>
      <c r="I973" s="31"/>
      <c r="J973" s="36"/>
      <c r="L973" s="31"/>
      <c r="M973" s="36"/>
    </row>
    <row r="974" ht="14.25" customHeight="1">
      <c r="H974" s="79"/>
      <c r="I974" s="31"/>
      <c r="J974" s="36"/>
      <c r="L974" s="31"/>
      <c r="M974" s="36"/>
    </row>
    <row r="975" ht="14.25" customHeight="1">
      <c r="H975" s="79"/>
      <c r="I975" s="31"/>
      <c r="J975" s="36"/>
      <c r="L975" s="31"/>
      <c r="M975" s="36"/>
    </row>
    <row r="976" ht="14.25" customHeight="1">
      <c r="H976" s="79"/>
      <c r="I976" s="31"/>
      <c r="J976" s="36"/>
      <c r="L976" s="31"/>
      <c r="M976" s="36"/>
    </row>
    <row r="977" ht="14.25" customHeight="1">
      <c r="H977" s="79"/>
      <c r="I977" s="31"/>
      <c r="J977" s="36"/>
      <c r="L977" s="31"/>
      <c r="M977" s="36"/>
    </row>
    <row r="978" ht="14.25" customHeight="1">
      <c r="H978" s="79"/>
      <c r="I978" s="31"/>
      <c r="J978" s="36"/>
      <c r="L978" s="31"/>
      <c r="M978" s="36"/>
    </row>
    <row r="979" ht="14.25" customHeight="1">
      <c r="H979" s="79"/>
      <c r="I979" s="31"/>
      <c r="J979" s="36"/>
      <c r="L979" s="31"/>
      <c r="M979" s="36"/>
    </row>
    <row r="980" ht="14.25" customHeight="1">
      <c r="H980" s="79"/>
      <c r="I980" s="31"/>
      <c r="J980" s="36"/>
      <c r="L980" s="31"/>
      <c r="M980" s="36"/>
    </row>
    <row r="981" ht="14.25" customHeight="1">
      <c r="H981" s="79"/>
      <c r="I981" s="31"/>
      <c r="J981" s="36"/>
      <c r="L981" s="31"/>
      <c r="M981" s="36"/>
    </row>
    <row r="982" ht="14.25" customHeight="1">
      <c r="H982" s="79"/>
      <c r="I982" s="31"/>
      <c r="J982" s="36"/>
      <c r="L982" s="31"/>
      <c r="M982" s="36"/>
    </row>
    <row r="983" ht="14.25" customHeight="1">
      <c r="H983" s="79"/>
      <c r="I983" s="31"/>
      <c r="J983" s="36"/>
      <c r="L983" s="31"/>
      <c r="M983" s="36"/>
    </row>
    <row r="984" ht="14.25" customHeight="1">
      <c r="H984" s="79"/>
      <c r="I984" s="31"/>
      <c r="J984" s="36"/>
      <c r="L984" s="31"/>
      <c r="M984" s="36"/>
    </row>
    <row r="985" ht="14.25" customHeight="1">
      <c r="H985" s="79"/>
      <c r="I985" s="31"/>
      <c r="J985" s="36"/>
      <c r="L985" s="31"/>
      <c r="M985" s="36"/>
    </row>
    <row r="986" ht="14.25" customHeight="1">
      <c r="H986" s="79"/>
      <c r="I986" s="31"/>
      <c r="J986" s="36"/>
      <c r="L986" s="31"/>
      <c r="M986" s="36"/>
    </row>
    <row r="987" ht="14.25" customHeight="1">
      <c r="H987" s="79"/>
      <c r="I987" s="31"/>
      <c r="J987" s="36"/>
      <c r="L987" s="31"/>
      <c r="M987" s="36"/>
    </row>
    <row r="988" ht="14.25" customHeight="1">
      <c r="H988" s="79"/>
      <c r="I988" s="31"/>
      <c r="J988" s="36"/>
      <c r="L988" s="31"/>
      <c r="M988" s="36"/>
    </row>
    <row r="989" ht="14.25" customHeight="1">
      <c r="H989" s="79"/>
      <c r="I989" s="31"/>
      <c r="J989" s="36"/>
      <c r="L989" s="31"/>
      <c r="M989" s="36"/>
    </row>
    <row r="990" ht="14.25" customHeight="1">
      <c r="H990" s="79"/>
      <c r="I990" s="31"/>
      <c r="J990" s="36"/>
      <c r="L990" s="31"/>
      <c r="M990" s="36"/>
    </row>
    <row r="991" ht="14.25" customHeight="1">
      <c r="H991" s="79"/>
      <c r="I991" s="31"/>
      <c r="J991" s="36"/>
      <c r="L991" s="31"/>
      <c r="M991" s="36"/>
    </row>
    <row r="992" ht="14.25" customHeight="1">
      <c r="H992" s="79"/>
      <c r="I992" s="31"/>
      <c r="J992" s="36"/>
      <c r="L992" s="31"/>
      <c r="M992" s="36"/>
    </row>
    <row r="993" ht="14.25" customHeight="1">
      <c r="H993" s="79"/>
      <c r="I993" s="31"/>
      <c r="J993" s="36"/>
      <c r="L993" s="31"/>
      <c r="M993" s="36"/>
    </row>
    <row r="994" ht="14.25" customHeight="1">
      <c r="H994" s="79"/>
      <c r="I994" s="31"/>
      <c r="J994" s="36"/>
      <c r="L994" s="31"/>
      <c r="M994" s="36"/>
    </row>
    <row r="995" ht="14.25" customHeight="1">
      <c r="H995" s="79"/>
      <c r="I995" s="31"/>
      <c r="J995" s="36"/>
      <c r="L995" s="31"/>
      <c r="M995" s="36"/>
    </row>
    <row r="996" ht="14.25" customHeight="1">
      <c r="H996" s="79"/>
      <c r="I996" s="31"/>
      <c r="J996" s="36"/>
      <c r="L996" s="31"/>
      <c r="M996" s="36"/>
    </row>
    <row r="997" ht="14.25" customHeight="1">
      <c r="H997" s="79"/>
      <c r="I997" s="31"/>
      <c r="J997" s="36"/>
      <c r="L997" s="31"/>
      <c r="M997" s="36"/>
    </row>
    <row r="998" ht="14.25" customHeight="1">
      <c r="H998" s="79"/>
      <c r="I998" s="31"/>
      <c r="J998" s="36"/>
      <c r="L998" s="31"/>
      <c r="M998" s="36"/>
    </row>
    <row r="999" ht="14.25" customHeight="1">
      <c r="H999" s="79"/>
      <c r="I999" s="31"/>
      <c r="J999" s="36"/>
      <c r="L999" s="31"/>
      <c r="M999" s="36"/>
    </row>
    <row r="1000" ht="14.25" customHeight="1">
      <c r="H1000" s="79"/>
      <c r="I1000" s="31"/>
      <c r="J1000" s="36"/>
      <c r="L1000" s="31"/>
      <c r="M1000" s="36"/>
    </row>
    <row r="1001" ht="14.25" customHeight="1">
      <c r="H1001" s="79"/>
      <c r="I1001" s="31"/>
      <c r="J1001" s="36"/>
      <c r="L1001" s="31"/>
      <c r="M1001" s="36"/>
    </row>
    <row r="1002" ht="14.25" customHeight="1">
      <c r="H1002" s="79"/>
      <c r="I1002" s="31"/>
      <c r="J1002" s="36"/>
      <c r="L1002" s="31"/>
      <c r="M1002" s="36"/>
    </row>
    <row r="1003" ht="14.25" customHeight="1">
      <c r="H1003" s="79"/>
      <c r="I1003" s="31"/>
      <c r="J1003" s="36"/>
      <c r="L1003" s="31"/>
      <c r="M1003" s="36"/>
    </row>
    <row r="1004" ht="14.25" customHeight="1">
      <c r="H1004" s="79"/>
      <c r="I1004" s="31"/>
      <c r="J1004" s="36"/>
      <c r="L1004" s="31"/>
      <c r="M1004" s="36"/>
    </row>
    <row r="1005" ht="14.25" customHeight="1">
      <c r="H1005" s="79"/>
      <c r="I1005" s="31"/>
      <c r="J1005" s="36"/>
      <c r="L1005" s="31"/>
      <c r="M1005" s="36"/>
    </row>
  </sheetData>
  <mergeCells count="6">
    <mergeCell ref="A1:H1"/>
    <mergeCell ref="I1:J1"/>
    <mergeCell ref="K1:N1"/>
    <mergeCell ref="B3:B13"/>
    <mergeCell ref="B14:B24"/>
    <mergeCell ref="N65:N68"/>
  </mergeCells>
  <hyperlinks>
    <hyperlink r:id="rId1" ref="O31"/>
    <hyperlink r:id="rId2" ref="O32"/>
    <hyperlink r:id="rId3" ref="O43"/>
  </hyperlinks>
  <printOptions horizontalCentered="1" verticalCentered="1"/>
  <pageMargins bottom="0.3055555555555556" footer="0.0" header="0.0" left="0.3055555555555556" right="0.3055555555555556" top="0.3055555555555556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2025-08-06T01:20:56Z</dcterms:created>
  <dc:creator>Henry Chan</dc:creator>
</cp:coreProperties>
</file>